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ndriantsoanavalona\Downloads\"/>
    </mc:Choice>
  </mc:AlternateContent>
  <xr:revisionPtr revIDLastSave="0" documentId="13_ncr:1_{EBEF301A-D9DB-4FFB-9818-293AC8DE1EB1}" xr6:coauthVersionLast="47" xr6:coauthVersionMax="47" xr10:uidLastSave="{00000000-0000-0000-0000-000000000000}"/>
  <bookViews>
    <workbookView xWindow="-28920" yWindow="840" windowWidth="29040" windowHeight="15720" firstSheet="1" activeTab="1" xr2:uid="{00000000-000D-0000-FFFF-FFFF00000000}"/>
  </bookViews>
  <sheets>
    <sheet name="README" sheetId="2" r:id="rId1"/>
    <sheet name="📊 Tableau de bord" sheetId="1" r:id="rId2"/>
    <sheet name="reclamations" sheetId="3" r:id="rId3"/>
    <sheet name="ref_canaux" sheetId="4" r:id="rId4"/>
    <sheet name="ref_motifs" sheetId="5" r:id="rId5"/>
    <sheet name="ref_communes" sheetId="6" r:id="rId6"/>
    <sheet name="ref_lignes_locales" sheetId="7" r:id="rId7"/>
    <sheet name="ref_lignes_regionales" sheetId="8" r:id="rId8"/>
    <sheet name="ref_declarant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C14" i="1"/>
  <c r="F13" i="1"/>
  <c r="C13" i="1"/>
  <c r="F12" i="1"/>
  <c r="C12" i="1"/>
  <c r="F11" i="1"/>
  <c r="C11" i="1"/>
  <c r="F10" i="1"/>
  <c r="C10" i="1"/>
  <c r="F9" i="1"/>
  <c r="C9" i="1"/>
  <c r="F4" i="1"/>
  <c r="D4" i="1"/>
  <c r="B4" i="1"/>
</calcChain>
</file>

<file path=xl/sharedStrings.xml><?xml version="1.0" encoding="utf-8"?>
<sst xmlns="http://schemas.openxmlformats.org/spreadsheetml/2006/main" count="140" uniqueCount="114">
  <si>
    <t>TOTAL RÉCLAMATIONS</t>
  </si>
  <si>
    <t>NON CLÔTURÉES</t>
  </si>
  <si>
    <t>CLÔTURÉES</t>
  </si>
  <si>
    <t>PAR MOTIF</t>
  </si>
  <si>
    <t>PAR COMMUNE</t>
  </si>
  <si>
    <t>Motif</t>
  </si>
  <si>
    <t>Nb réclamations</t>
  </si>
  <si>
    <t>Commune</t>
  </si>
  <si>
    <t>Retard</t>
  </si>
  <si>
    <t>Meudon</t>
  </si>
  <si>
    <t>Information voyageurs</t>
  </si>
  <si>
    <t>Issy-les-Moulineaux</t>
  </si>
  <si>
    <t>Suppression</t>
  </si>
  <si>
    <t>Clamart</t>
  </si>
  <si>
    <t>Comportement</t>
  </si>
  <si>
    <t>Vanves</t>
  </si>
  <si>
    <t>Confort / surcharge</t>
  </si>
  <si>
    <t>Châtillon</t>
  </si>
  <si>
    <t>Infrastructure</t>
  </si>
  <si>
    <t>Date</t>
  </si>
  <si>
    <t>N° dossier</t>
  </si>
  <si>
    <t>Canal</t>
  </si>
  <si>
    <t>Ligne locale</t>
  </si>
  <si>
    <t>Objet</t>
  </si>
  <si>
    <t>Déclarant</t>
  </si>
  <si>
    <t>💡 Ce tableau se met à jour automatiquement à chaque nouvelle saisie dans l'onglet [reclamations]. Ne jamais modifier cet onglet manuellement.</t>
  </si>
  <si>
    <t>STRUCTURE BDD RÉCLAMATIONS USAGERS — VERSION PROPRE</t>
  </si>
  <si>
    <t>7 tables liées par des clés de correspondance :</t>
  </si>
  <si>
    <t xml:space="preserve">  [reclamations]      — table principale, 1 ligne = 1 réclamation</t>
  </si>
  <si>
    <t xml:space="preserve">  [ref_canaux]        — référentiel des canaux (téléphone, email...)</t>
  </si>
  <si>
    <t xml:space="preserve">  [ref_motifs]        — référentiel des motifs (retard, suppression...)</t>
  </si>
  <si>
    <t xml:space="preserve">  [ref_communes]      — référentiel des communes concernées</t>
  </si>
  <si>
    <t xml:space="preserve">  [ref_lignes_locales]    — référentiel des lignes locales</t>
  </si>
  <si>
    <t xml:space="preserve">  [ref_lignes_regionales] — référentiel des lignes régionales</t>
  </si>
  <si>
    <t xml:space="preserve">  [ref_declarants]    — référentiel des déclarants (anonymat géré par booléen)</t>
  </si>
  <si>
    <t>RÈGLES RESPECTÉES :</t>
  </si>
  <si>
    <t xml:space="preserve">  ✓ 1 champ = 1 seule information (plus de 'Meudon / Vanves' ou '323 et 169')</t>
  </si>
  <si>
    <t xml:space="preserve">  ✓ Booléens en 0/1 : 'cloturee' et 'anonyme'</t>
  </si>
  <si>
    <t xml:space="preserve">  ✓ Dates en format ISO AAAA-MM-JJ (triables, filtrables)</t>
  </si>
  <si>
    <t xml:space="preserve">  ✓ Motifs et canaux en référentiel fermé (pas de texte libre)</t>
  </si>
  <si>
    <t xml:space="preserve">  ✓ Pas de sections intermédiaires ni de lignes vides</t>
  </si>
  <si>
    <t xml:space="preserve">  ✓ Lignes régionales et locales séparées</t>
  </si>
  <si>
    <t>USAGES POSSIBLES AVEC CETTE STRUCTURE :</t>
  </si>
  <si>
    <t xml:space="preserve">  → Filtrer toutes les réclamations non clôturées (cloturee = 0)</t>
  </si>
  <si>
    <t xml:space="preserve">  → Compter les réclamations par motif sur une période</t>
  </si>
  <si>
    <t xml:space="preserve">  → Sortir toutes les réclamations sur la ligne 169</t>
  </si>
  <si>
    <t xml:space="preserve">  → Calculer le délai moyen de clôture</t>
  </si>
  <si>
    <t>id_reclamation</t>
  </si>
  <si>
    <t>date_reclamation</t>
  </si>
  <si>
    <t>id_canal</t>
  </si>
  <si>
    <t>id_motif</t>
  </si>
  <si>
    <t>id_commune</t>
  </si>
  <si>
    <t>id_ligne_locale</t>
  </si>
  <si>
    <t>id_ligne_regionale</t>
  </si>
  <si>
    <t>objet_libre</t>
  </si>
  <si>
    <t>id_nom</t>
  </si>
  <si>
    <t>date_cloture</t>
  </si>
  <si>
    <t>cloturee</t>
  </si>
  <si>
    <t>2024-01-03</t>
  </si>
  <si>
    <t>Retard important à l'arrêt Meudon-Val Fleury</t>
  </si>
  <si>
    <t>2024-01-05</t>
  </si>
  <si>
    <t>Retard puis suppression sans annonce</t>
  </si>
  <si>
    <t>2024-01-08</t>
  </si>
  <si>
    <t>Chauffeur impoli envers une passagère</t>
  </si>
  <si>
    <t>2024-01-10</t>
  </si>
  <si>
    <t>2024-01-09</t>
  </si>
  <si>
    <t>Bus bondé, impossible de monter</t>
  </si>
  <si>
    <t>2024-01-15</t>
  </si>
  <si>
    <t>Abribus vandalisé, vitre cassée</t>
  </si>
  <si>
    <t>2024-01-20</t>
  </si>
  <si>
    <t>2024-02-02</t>
  </si>
  <si>
    <t>Retard de 20 minutes</t>
  </si>
  <si>
    <t>2024-02-04</t>
  </si>
  <si>
    <t>2024-02-07</t>
  </si>
  <si>
    <t>Horaires incorrects sur l'application mobile</t>
  </si>
  <si>
    <t>2024-02-14</t>
  </si>
  <si>
    <t>Retard récurrent sur la ligne 169</t>
  </si>
  <si>
    <t>2024-02-15</t>
  </si>
  <si>
    <t>2024-02-21</t>
  </si>
  <si>
    <t>Suppression sans information aux voyageurs</t>
  </si>
  <si>
    <t>2024-02-28</t>
  </si>
  <si>
    <t>libelle_canal</t>
  </si>
  <si>
    <t>Téléphone</t>
  </si>
  <si>
    <t>Email</t>
  </si>
  <si>
    <t>Téléphone + Email</t>
  </si>
  <si>
    <t>Téléphone + Courrier</t>
  </si>
  <si>
    <t>libelle_motif</t>
  </si>
  <si>
    <t>nom_commune</t>
  </si>
  <si>
    <t>code_postal</t>
  </si>
  <si>
    <t>numero_ligne</t>
  </si>
  <si>
    <t>operateur</t>
  </si>
  <si>
    <t>323</t>
  </si>
  <si>
    <t>Transdev</t>
  </si>
  <si>
    <t>191</t>
  </si>
  <si>
    <t>289</t>
  </si>
  <si>
    <t>Keolis</t>
  </si>
  <si>
    <t>169</t>
  </si>
  <si>
    <t>58</t>
  </si>
  <si>
    <t>RATP</t>
  </si>
  <si>
    <t>290</t>
  </si>
  <si>
    <t>N118</t>
  </si>
  <si>
    <t>Transilien SNCF</t>
  </si>
  <si>
    <t>nom_prenom</t>
  </si>
  <si>
    <t>anonyme</t>
  </si>
  <si>
    <t>Dupont Marie</t>
  </si>
  <si>
    <t>Martin Jean-Pierre</t>
  </si>
  <si>
    <t>Lefebvre Christine</t>
  </si>
  <si>
    <t>Anonyme</t>
  </si>
  <si>
    <t>Petit Robert</t>
  </si>
  <si>
    <t>Bernard Lucie</t>
  </si>
  <si>
    <t>Durand Paul</t>
  </si>
  <si>
    <t>Thomas André</t>
  </si>
  <si>
    <t>TABLEAU DE SUIVI — RÉCLAMATIONS USAGERS 2024</t>
  </si>
  <si>
    <t>RÉCLAMATIONS NON CLÔTURÉES — À TRAITER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</si>
</sst>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color rgb="FFFFFFFF"/>
      <name val="Calibri"/>
    </font>
    <font>
      <b/>
      <sz val="11"/>
      <color rgb="FF000000"/>
      <name val="Calibri"/>
    </font>
    <font>
      <b/>
      <sz val="14"/>
      <color rgb="FFFFFFFF"/>
      <name val="Calibri"/>
    </font>
    <font>
      <b/>
      <sz val="28"/>
      <color rgb="FF1F4E79"/>
      <name val="Calibri"/>
    </font>
    <font>
      <b/>
      <sz val="28"/>
      <color rgb="FFC00000"/>
      <name val="Calibri"/>
    </font>
    <font>
      <b/>
      <sz val="28"/>
      <color rgb="FF375623"/>
      <name val="Calibri"/>
    </font>
    <font>
      <b/>
      <sz val="11"/>
      <name val="Calibri"/>
    </font>
    <font>
      <i/>
      <sz val="10"/>
      <color rgb="FF59595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2E75B6"/>
        <bgColor rgb="FF2E75B6"/>
      </patternFill>
    </fill>
    <fill>
      <patternFill patternType="solid">
        <fgColor rgb="FFC00000"/>
        <bgColor rgb="FFC00000"/>
      </patternFill>
    </fill>
    <fill>
      <patternFill patternType="solid">
        <fgColor rgb="FFFCE4D6"/>
        <bgColor rgb="FFFCE4D6"/>
      </patternFill>
    </fill>
    <fill>
      <patternFill patternType="solid">
        <fgColor rgb="FF375623"/>
        <bgColor rgb="FF375623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0" xfId="0" applyFont="1" applyFill="1"/>
    <xf numFmtId="0" fontId="3" fillId="0" borderId="0" xfId="0" applyFont="1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8" fillId="9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0" fillId="0" borderId="0" xfId="0"/>
    <xf numFmtId="0" fontId="9" fillId="10" borderId="0" xfId="0" applyFont="1" applyFill="1" applyAlignment="1">
      <alignment horizontal="left" vertical="center" wrapText="1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5"/>
  <sheetViews>
    <sheetView workbookViewId="0"/>
  </sheetViews>
  <sheetFormatPr baseColWidth="10" defaultColWidth="8.88671875" defaultRowHeight="14.4" x14ac:dyDescent="0.3"/>
  <cols>
    <col min="1" max="1" width="85" customWidth="1"/>
  </cols>
  <sheetData>
    <row r="1" spans="1:1" ht="15.6" x14ac:dyDescent="0.3">
      <c r="A1" s="1" t="s">
        <v>26</v>
      </c>
    </row>
    <row r="3" spans="1:1" x14ac:dyDescent="0.3">
      <c r="A3" s="2" t="s">
        <v>27</v>
      </c>
    </row>
    <row r="5" spans="1:1" x14ac:dyDescent="0.3">
      <c r="A5" t="s">
        <v>28</v>
      </c>
    </row>
    <row r="6" spans="1:1" x14ac:dyDescent="0.3">
      <c r="A6" t="s">
        <v>29</v>
      </c>
    </row>
    <row r="7" spans="1:1" x14ac:dyDescent="0.3">
      <c r="A7" t="s">
        <v>30</v>
      </c>
    </row>
    <row r="8" spans="1:1" x14ac:dyDescent="0.3">
      <c r="A8" t="s">
        <v>31</v>
      </c>
    </row>
    <row r="9" spans="1:1" x14ac:dyDescent="0.3">
      <c r="A9" t="s">
        <v>32</v>
      </c>
    </row>
    <row r="10" spans="1:1" x14ac:dyDescent="0.3">
      <c r="A10" t="s">
        <v>33</v>
      </c>
    </row>
    <row r="11" spans="1:1" x14ac:dyDescent="0.3">
      <c r="A11" t="s">
        <v>34</v>
      </c>
    </row>
    <row r="13" spans="1:1" x14ac:dyDescent="0.3">
      <c r="A13" s="2" t="s">
        <v>35</v>
      </c>
    </row>
    <row r="14" spans="1:1" x14ac:dyDescent="0.3">
      <c r="A14" t="s">
        <v>36</v>
      </c>
    </row>
    <row r="15" spans="1:1" x14ac:dyDescent="0.3">
      <c r="A15" t="s">
        <v>37</v>
      </c>
    </row>
    <row r="16" spans="1:1" x14ac:dyDescent="0.3">
      <c r="A16" t="s">
        <v>38</v>
      </c>
    </row>
    <row r="17" spans="1:1" x14ac:dyDescent="0.3">
      <c r="A17" t="s">
        <v>39</v>
      </c>
    </row>
    <row r="18" spans="1:1" x14ac:dyDescent="0.3">
      <c r="A18" t="s">
        <v>40</v>
      </c>
    </row>
    <row r="19" spans="1:1" x14ac:dyDescent="0.3">
      <c r="A19" t="s">
        <v>41</v>
      </c>
    </row>
    <row r="21" spans="1:1" x14ac:dyDescent="0.3">
      <c r="A21" s="2" t="s">
        <v>42</v>
      </c>
    </row>
    <row r="22" spans="1:1" x14ac:dyDescent="0.3">
      <c r="A22" t="s">
        <v>43</v>
      </c>
    </row>
    <row r="23" spans="1:1" x14ac:dyDescent="0.3">
      <c r="A23" t="s">
        <v>44</v>
      </c>
    </row>
    <row r="24" spans="1:1" x14ac:dyDescent="0.3">
      <c r="A24" t="s">
        <v>45</v>
      </c>
    </row>
    <row r="25" spans="1:1" x14ac:dyDescent="0.3">
      <c r="A25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26"/>
  <sheetViews>
    <sheetView tabSelected="1" workbookViewId="0">
      <selection activeCell="B23" sqref="B23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6" width="14" customWidth="1"/>
    <col min="7" max="7" width="40.21875" bestFit="1" customWidth="1"/>
    <col min="8" max="8" width="14" customWidth="1"/>
    <col min="9" max="9" width="2" customWidth="1"/>
  </cols>
  <sheetData>
    <row r="1" spans="2:8" ht="34.950000000000003" customHeight="1" x14ac:dyDescent="0.3">
      <c r="B1" s="12" t="s">
        <v>112</v>
      </c>
      <c r="C1" s="13"/>
      <c r="D1" s="13"/>
      <c r="E1" s="13"/>
      <c r="F1" s="13"/>
      <c r="G1" s="13"/>
      <c r="H1" s="13"/>
    </row>
    <row r="2" spans="2:8" ht="7.95" customHeight="1" x14ac:dyDescent="0.3"/>
    <row r="3" spans="2:8" ht="18" customHeight="1" x14ac:dyDescent="0.3">
      <c r="B3" s="15" t="s">
        <v>0</v>
      </c>
      <c r="C3" s="13"/>
      <c r="D3" s="16" t="s">
        <v>1</v>
      </c>
      <c r="E3" s="13"/>
      <c r="F3" s="18" t="s">
        <v>2</v>
      </c>
      <c r="G3" s="13"/>
    </row>
    <row r="4" spans="2:8" ht="40.049999999999997" customHeight="1" x14ac:dyDescent="0.3">
      <c r="B4" s="17">
        <f>COUNTA(reclamations!A2:A1000)-1</f>
        <v>8</v>
      </c>
      <c r="C4" s="13"/>
      <c r="D4" s="21">
        <f>COUNTIF(reclamations!K2:K1000,0)</f>
        <v>2</v>
      </c>
      <c r="E4" s="13"/>
      <c r="F4" s="20">
        <f>COUNTIF(reclamations!K2:K1000,1)</f>
        <v>7</v>
      </c>
      <c r="G4" s="13"/>
    </row>
    <row r="5" spans="2:8" ht="40.049999999999997" customHeight="1" x14ac:dyDescent="0.3">
      <c r="B5" s="13"/>
      <c r="C5" s="13"/>
      <c r="D5" s="13"/>
      <c r="E5" s="13"/>
      <c r="F5" s="13"/>
      <c r="G5" s="13"/>
    </row>
    <row r="6" spans="2:8" ht="10.050000000000001" customHeight="1" x14ac:dyDescent="0.3"/>
    <row r="7" spans="2:8" ht="18" customHeight="1" x14ac:dyDescent="0.3">
      <c r="B7" s="15" t="s">
        <v>3</v>
      </c>
      <c r="C7" s="13"/>
      <c r="E7" s="15" t="s">
        <v>4</v>
      </c>
      <c r="F7" s="13"/>
      <c r="G7" s="13"/>
    </row>
    <row r="8" spans="2:8" ht="16.05" customHeight="1" x14ac:dyDescent="0.3">
      <c r="B8" s="5" t="s">
        <v>5</v>
      </c>
      <c r="C8" s="5" t="s">
        <v>6</v>
      </c>
      <c r="E8" s="19" t="s">
        <v>7</v>
      </c>
      <c r="F8" s="5" t="s">
        <v>6</v>
      </c>
    </row>
    <row r="9" spans="2:8" ht="18" customHeight="1" x14ac:dyDescent="0.3">
      <c r="B9" s="6" t="s">
        <v>8</v>
      </c>
      <c r="C9" s="7">
        <f>COUNTIF(reclamations!D$2:D$1000,MATCH(B9,ref_motifs!B$2:B$1000,0))</f>
        <v>3</v>
      </c>
      <c r="E9" s="6" t="s">
        <v>9</v>
      </c>
      <c r="F9" s="7">
        <f>COUNTIF(reclamations!E$2:E$1000,MATCH(E9,ref_communes!B$2:B$1000,0))</f>
        <v>5</v>
      </c>
    </row>
    <row r="10" spans="2:8" ht="18" customHeight="1" x14ac:dyDescent="0.3">
      <c r="B10" s="8" t="s">
        <v>10</v>
      </c>
      <c r="C10" s="9">
        <f>COUNTIF(reclamations!D$2:D$1000,MATCH(B10,ref_motifs!B$2:B$1000,0))</f>
        <v>1</v>
      </c>
      <c r="E10" s="8" t="s">
        <v>11</v>
      </c>
      <c r="F10" s="9">
        <f>COUNTIF(reclamations!E$2:E$1000,MATCH(E10,ref_communes!B$2:B$1000,0))</f>
        <v>1</v>
      </c>
    </row>
    <row r="11" spans="2:8" ht="18" customHeight="1" x14ac:dyDescent="0.3">
      <c r="B11" s="6" t="s">
        <v>12</v>
      </c>
      <c r="C11" s="7">
        <f>COUNTIF(reclamations!D$2:D$1000,MATCH(B11,ref_motifs!B$2:B$1000,0))</f>
        <v>2</v>
      </c>
      <c r="E11" s="6" t="s">
        <v>13</v>
      </c>
      <c r="F11" s="7">
        <f>COUNTIF(reclamations!E$2:E$1000,MATCH(E11,ref_communes!B$2:B$1000,0))</f>
        <v>1</v>
      </c>
    </row>
    <row r="12" spans="2:8" ht="18" customHeight="1" x14ac:dyDescent="0.3">
      <c r="B12" s="8" t="s">
        <v>14</v>
      </c>
      <c r="C12" s="9">
        <f>COUNTIF(reclamations!D$2:D$1000,MATCH(B12,ref_motifs!B$2:B$1000,0))</f>
        <v>1</v>
      </c>
      <c r="E12" s="8" t="s">
        <v>15</v>
      </c>
      <c r="F12" s="9">
        <f>COUNTIF(reclamations!E$2:E$1000,MATCH(E12,ref_communes!B$2:B$1000,0))</f>
        <v>1</v>
      </c>
    </row>
    <row r="13" spans="2:8" ht="18" customHeight="1" x14ac:dyDescent="0.3">
      <c r="B13" s="6" t="s">
        <v>16</v>
      </c>
      <c r="C13" s="7">
        <f>COUNTIF(reclamations!D$2:D$1000,MATCH(B13,ref_motifs!B$2:B$1000,0))</f>
        <v>1</v>
      </c>
      <c r="E13" s="6" t="s">
        <v>17</v>
      </c>
      <c r="F13" s="7">
        <f>COUNTIF(reclamations!E$2:E$1000,MATCH(E13,ref_communes!B$2:B$1000,0))</f>
        <v>1</v>
      </c>
    </row>
    <row r="14" spans="2:8" ht="18" customHeight="1" x14ac:dyDescent="0.3">
      <c r="B14" s="8" t="s">
        <v>18</v>
      </c>
      <c r="C14" s="9">
        <f>COUNTIF(reclamations!D$2:D$1000,MATCH(B14,ref_motifs!B$2:B$1000,0))</f>
        <v>1</v>
      </c>
    </row>
    <row r="16" spans="2:8" ht="10.050000000000001" customHeight="1" x14ac:dyDescent="0.3"/>
    <row r="17" spans="2:8" ht="18" customHeight="1" x14ac:dyDescent="0.3">
      <c r="B17" s="16" t="s">
        <v>113</v>
      </c>
      <c r="C17" s="13"/>
      <c r="D17" s="13"/>
      <c r="E17" s="13"/>
      <c r="F17" s="13"/>
      <c r="G17" s="13"/>
      <c r="H17" s="13"/>
    </row>
    <row r="18" spans="2:8" ht="16.05" customHeight="1" x14ac:dyDescent="0.3">
      <c r="B18" s="5" t="s">
        <v>19</v>
      </c>
      <c r="C18" s="5" t="s">
        <v>20</v>
      </c>
      <c r="D18" s="5" t="s">
        <v>21</v>
      </c>
      <c r="E18" s="5" t="s">
        <v>7</v>
      </c>
      <c r="F18" s="5" t="s">
        <v>22</v>
      </c>
      <c r="G18" s="5" t="s">
        <v>23</v>
      </c>
      <c r="H18" s="5" t="s">
        <v>24</v>
      </c>
    </row>
    <row r="19" spans="2:8" ht="18" customHeight="1" x14ac:dyDescent="0.3">
      <c r="B19" s="10" t="str">
        <f>IFERROR(INDEX(reclamations!B$2:B$1000,SMALL(IF(reclamations!K$2:K$1000=0,ROW(reclamations!K$2:K$1000)-ROW(reclamations!K$2)+1),1)),"")</f>
        <v>2024-01-03</v>
      </c>
      <c r="C19" s="10">
        <f>IFERROR(INDEX(reclamations!A$2:A$1000,SMALL(IF(reclamations!K$2:K$1000=0,ROW(reclamations!K$2:K$1000)-ROW(reclamations!K$2)+1),1)),"")</f>
        <v>1</v>
      </c>
      <c r="D19" s="10" t="str">
        <f>IFERROR(INDEX(ref_canaux!B$2:B$1000,INDEX(reclamations!C$2:C$1000,SMALL(IF(reclamations!K$2:K$1000=0,ROW(reclamations!K$2:K$1000)-ROW(reclamations!K$2)+1),1))),"")</f>
        <v>Téléphone</v>
      </c>
      <c r="E19" s="10" t="str">
        <f>IFERROR(INDEX(ref_communes!B$2:B$1000,INDEX(reclamations!E$2:E$1000,SMALL(IF(reclamations!K$2:K$1000=0,ROW(reclamations!K$2:K$1000)-ROW(reclamations!K$2)+1),1))),"")</f>
        <v>Meudon</v>
      </c>
      <c r="F19" s="10" t="str">
        <f>IFERROR(INDEX(ref_lignes_locales!B$2:B$1000,INDEX(reclamations!F$2:F$1000,SMALL(IF(reclamations!K$2:K$1000=0,ROW(reclamations!K$2:K$1000)-ROW(reclamations!K$2)+1),1))),"")</f>
        <v>323</v>
      </c>
      <c r="G19" s="11" t="str">
        <f>IFERROR(INDEX(reclamations!H$2:H$1000,SMALL(IF(reclamations!K$2:K$1000=0,ROW(reclamations!K$2:K$1000)-ROW(reclamations!K$2)+1),1)),"")</f>
        <v>Retard important à l'arrêt Meudon-Val Fleury</v>
      </c>
      <c r="H19" s="11" t="str">
        <f>IFERROR(INDEX(ref_declarants!B$2:B$1000,INDEX(reclamations!I$2:I$1000,SMALL(IF(reclamations!K$2:K$1000=0,ROW(reclamations!K$2:K$1000)-ROW(reclamations!K$2)+1),1))),"")</f>
        <v>Dupont Marie</v>
      </c>
    </row>
    <row r="20" spans="2:8" ht="18" customHeight="1" x14ac:dyDescent="0.3">
      <c r="B20" s="9" t="str">
        <f>IFERROR(INDEX(reclamations!B$2:B$1000,SMALL(IF(reclamations!K$2:K$1000=0,ROW(reclamations!K$2:K$1000)-ROW(reclamations!K$2)+1),2)),"")</f>
        <v/>
      </c>
      <c r="C20" s="9" t="str">
        <f>IFERROR(INDEX(reclamations!A$2:A$1000,SMALL(IF(reclamations!K$2:K$1000=0,ROW(reclamations!K$2:K$1000)-ROW(reclamations!K$2)+1),2)),"")</f>
        <v/>
      </c>
      <c r="D20" s="9" t="str">
        <f>IFERROR(INDEX(ref_canaux!B$2:B$1000,INDEX(reclamations!C$2:C$1000,SMALL(IF(reclamations!K$2:K$1000=0,ROW(reclamations!K$2:K$1000)-ROW(reclamations!K$2)+1),2))),"")</f>
        <v/>
      </c>
      <c r="E20" s="9" t="str">
        <f>IFERROR(INDEX(ref_communes!B$2:B$1000,INDEX(reclamations!E$2:E$1000,SMALL(IF(reclamations!K$2:K$1000=0,ROW(reclamations!K$2:K$1000)-ROW(reclamations!K$2)+1),2))),"")</f>
        <v/>
      </c>
      <c r="F20" s="9" t="str">
        <f>IFERROR(INDEX(ref_lignes_locales!B$2:B$1000,INDEX(reclamations!F$2:F$1000,SMALL(IF(reclamations!K$2:K$1000=0,ROW(reclamations!K$2:K$1000)-ROW(reclamations!K$2)+1),2))),"")</f>
        <v/>
      </c>
      <c r="G20" s="8" t="str">
        <f>IFERROR(INDEX(reclamations!H$2:H$1000,SMALL(IF(reclamations!K$2:K$1000=0,ROW(reclamations!K$2:K$1000)-ROW(reclamations!K$2)+1),2)),"")</f>
        <v/>
      </c>
      <c r="H20" s="8" t="str">
        <f>IFERROR(INDEX(ref_declarants!B$2:B$1000,INDEX(reclamations!I$2:I$1000,SMALL(IF(reclamations!K$2:K$1000=0,ROW(reclamations!K$2:K$1000)-ROW(reclamations!K$2)+1),2))),"")</f>
        <v/>
      </c>
    </row>
    <row r="21" spans="2:8" ht="18" customHeight="1" x14ac:dyDescent="0.3">
      <c r="B21" s="10" t="str">
        <f>IFERROR(INDEX(reclamations!B$2:B$1000,SMALL(IF(reclamations!K$2:K$1000=0,ROW(reclamations!K$2:K$1000)-ROW(reclamations!K$2)+1),3)),"")</f>
        <v/>
      </c>
      <c r="C21" s="10" t="str">
        <f>IFERROR(INDEX(reclamations!A$2:A$1000,SMALL(IF(reclamations!K$2:K$1000=0,ROW(reclamations!K$2:K$1000)-ROW(reclamations!K$2)+1),3)),"")</f>
        <v/>
      </c>
      <c r="D21" s="10" t="str">
        <f>IFERROR(INDEX(ref_canaux!B$2:B$1000,INDEX(reclamations!C$2:C$1000,SMALL(IF(reclamations!K$2:K$1000=0,ROW(reclamations!K$2:K$1000)-ROW(reclamations!K$2)+1),3))),"")</f>
        <v/>
      </c>
      <c r="E21" s="10" t="str">
        <f>IFERROR(INDEX(ref_communes!B$2:B$1000,INDEX(reclamations!E$2:E$1000,SMALL(IF(reclamations!K$2:K$1000=0,ROW(reclamations!K$2:K$1000)-ROW(reclamations!K$2)+1),3))),"")</f>
        <v/>
      </c>
      <c r="F21" s="10" t="str">
        <f>IFERROR(INDEX(ref_lignes_locales!B$2:B$1000,INDEX(reclamations!F$2:F$1000,SMALL(IF(reclamations!K$2:K$1000=0,ROW(reclamations!K$2:K$1000)-ROW(reclamations!K$2)+1),3))),"")</f>
        <v/>
      </c>
      <c r="G21" s="11" t="str">
        <f>IFERROR(INDEX(reclamations!H$2:H$1000,SMALL(IF(reclamations!K$2:K$1000=0,ROW(reclamations!K$2:K$1000)-ROW(reclamations!K$2)+1),3)),"")</f>
        <v/>
      </c>
      <c r="H21" s="11" t="str">
        <f>IFERROR(INDEX(ref_declarants!B$2:B$1000,INDEX(reclamations!I$2:I$1000,SMALL(IF(reclamations!K$2:K$1000=0,ROW(reclamations!K$2:K$1000)-ROW(reclamations!K$2)+1),3))),"")</f>
        <v/>
      </c>
    </row>
    <row r="22" spans="2:8" ht="18" customHeight="1" x14ac:dyDescent="0.3">
      <c r="B22" s="9" t="str">
        <f>IFERROR(INDEX(reclamations!B$2:B$1000,SMALL(IF(reclamations!K$2:K$1000=0,ROW(reclamations!K$2:K$1000)-ROW(reclamations!K$2)+1),4)),"")</f>
        <v/>
      </c>
      <c r="C22" s="9" t="str">
        <f>IFERROR(INDEX(reclamations!A$2:A$1000,SMALL(IF(reclamations!K$2:K$1000=0,ROW(reclamations!K$2:K$1000)-ROW(reclamations!K$2)+1),4)),"")</f>
        <v/>
      </c>
      <c r="D22" s="9" t="str">
        <f>IFERROR(INDEX(ref_canaux!B$2:B$1000,INDEX(reclamations!C$2:C$1000,SMALL(IF(reclamations!K$2:K$1000=0,ROW(reclamations!K$2:K$1000)-ROW(reclamations!K$2)+1),4))),"")</f>
        <v/>
      </c>
      <c r="E22" s="9" t="str">
        <f>IFERROR(INDEX(ref_communes!B$2:B$1000,INDEX(reclamations!E$2:E$1000,SMALL(IF(reclamations!K$2:K$1000=0,ROW(reclamations!K$2:K$1000)-ROW(reclamations!K$2)+1),4))),"")</f>
        <v/>
      </c>
      <c r="F22" s="9" t="str">
        <f>IFERROR(INDEX(ref_lignes_locales!B$2:B$1000,INDEX(reclamations!F$2:F$1000,SMALL(IF(reclamations!K$2:K$1000=0,ROW(reclamations!K$2:K$1000)-ROW(reclamations!K$2)+1),4))),"")</f>
        <v/>
      </c>
      <c r="G22" s="8" t="str">
        <f>IFERROR(INDEX(reclamations!H$2:H$1000,SMALL(IF(reclamations!K$2:K$1000=0,ROW(reclamations!K$2:K$1000)-ROW(reclamations!K$2)+1),4)),"")</f>
        <v/>
      </c>
      <c r="H22" s="8" t="str">
        <f>IFERROR(INDEX(ref_declarants!B$2:B$1000,INDEX(reclamations!I$2:I$1000,SMALL(IF(reclamations!K$2:K$1000=0,ROW(reclamations!K$2:K$1000)-ROW(reclamations!K$2)+1),4))),"")</f>
        <v/>
      </c>
    </row>
    <row r="23" spans="2:8" ht="18" customHeight="1" x14ac:dyDescent="0.3">
      <c r="B23" s="10" t="str">
        <f>IFERROR(INDEX(reclamations!B$2:B$1000,SMALL(IF(reclamations!K$2:K$1000=0,ROW(reclamations!K$2:K$1000)-ROW(reclamations!K$2)+1),5)),"")</f>
        <v/>
      </c>
      <c r="C23" s="10" t="str">
        <f>IFERROR(INDEX(reclamations!A$2:A$1000,SMALL(IF(reclamations!K$2:K$1000=0,ROW(reclamations!K$2:K$1000)-ROW(reclamations!K$2)+1),5)),"")</f>
        <v/>
      </c>
      <c r="D23" s="10" t="str">
        <f>IFERROR(INDEX(ref_canaux!B$2:B$1000,INDEX(reclamations!C$2:C$1000,SMALL(IF(reclamations!K$2:K$1000=0,ROW(reclamations!K$2:K$1000)-ROW(reclamations!K$2)+1),5))),"")</f>
        <v/>
      </c>
      <c r="E23" s="10" t="str">
        <f>IFERROR(INDEX(ref_communes!B$2:B$1000,INDEX(reclamations!E$2:E$1000,SMALL(IF(reclamations!K$2:K$1000=0,ROW(reclamations!K$2:K$1000)-ROW(reclamations!K$2)+1),5))),"")</f>
        <v/>
      </c>
      <c r="F23" s="10" t="str">
        <f>IFERROR(INDEX(ref_lignes_locales!B$2:B$1000,INDEX(reclamations!F$2:F$1000,SMALL(IF(reclamations!K$2:K$1000=0,ROW(reclamations!K$2:K$1000)-ROW(reclamations!K$2)+1),5))),"")</f>
        <v/>
      </c>
      <c r="G23" s="11" t="str">
        <f>IFERROR(INDEX(reclamations!H$2:H$1000,SMALL(IF(reclamations!K$2:K$1000=0,ROW(reclamations!K$2:K$1000)-ROW(reclamations!K$2)+1),5)),"")</f>
        <v/>
      </c>
      <c r="H23" s="11" t="str">
        <f>IFERROR(INDEX(ref_declarants!B$2:B$1000,INDEX(reclamations!I$2:I$1000,SMALL(IF(reclamations!K$2:K$1000=0,ROW(reclamations!K$2:K$1000)-ROW(reclamations!K$2)+1),5))),"")</f>
        <v/>
      </c>
    </row>
    <row r="25" spans="2:8" ht="10.050000000000001" customHeight="1" x14ac:dyDescent="0.3"/>
    <row r="26" spans="2:8" ht="30" customHeight="1" x14ac:dyDescent="0.3">
      <c r="B26" s="14" t="s">
        <v>25</v>
      </c>
      <c r="C26" s="13"/>
      <c r="D26" s="13"/>
      <c r="E26" s="13"/>
      <c r="F26" s="13"/>
      <c r="G26" s="13"/>
      <c r="H26" s="13"/>
    </row>
  </sheetData>
  <mergeCells count="12">
    <mergeCell ref="B1:H1"/>
    <mergeCell ref="B26:H26"/>
    <mergeCell ref="B3:C3"/>
    <mergeCell ref="D3:E3"/>
    <mergeCell ref="E7:G7"/>
    <mergeCell ref="B4:C5"/>
    <mergeCell ref="F3:G3"/>
    <mergeCell ref="E8"/>
    <mergeCell ref="F4:G5"/>
    <mergeCell ref="D4:E5"/>
    <mergeCell ref="B17:H17"/>
    <mergeCell ref="B7:C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"/>
  <sheetViews>
    <sheetView workbookViewId="0">
      <selection activeCell="A11" sqref="A11"/>
    </sheetView>
  </sheetViews>
  <sheetFormatPr baseColWidth="10" defaultColWidth="8.88671875" defaultRowHeight="14.4" x14ac:dyDescent="0.3"/>
  <cols>
    <col min="1" max="1" width="16" customWidth="1"/>
    <col min="2" max="2" width="18" customWidth="1"/>
    <col min="3" max="4" width="12" customWidth="1"/>
    <col min="5" max="5" width="14" customWidth="1"/>
    <col min="6" max="6" width="18" customWidth="1"/>
    <col min="7" max="7" width="20" customWidth="1"/>
    <col min="8" max="8" width="45" customWidth="1"/>
    <col min="9" max="9" width="12" customWidth="1"/>
    <col min="10" max="10" width="15" customWidth="1"/>
    <col min="11" max="11" width="12" customWidth="1"/>
  </cols>
  <sheetData>
    <row r="1" spans="1:11" x14ac:dyDescent="0.3">
      <c r="A1" s="3" t="s">
        <v>47</v>
      </c>
      <c r="B1" s="3" t="s">
        <v>48</v>
      </c>
      <c r="C1" s="3" t="s">
        <v>49</v>
      </c>
      <c r="D1" s="3" t="s">
        <v>50</v>
      </c>
      <c r="E1" s="3" t="s">
        <v>51</v>
      </c>
      <c r="F1" s="3" t="s">
        <v>52</v>
      </c>
      <c r="G1" s="3" t="s">
        <v>53</v>
      </c>
      <c r="H1" s="3" t="s">
        <v>54</v>
      </c>
      <c r="I1" s="3" t="s">
        <v>55</v>
      </c>
      <c r="J1" s="3" t="s">
        <v>56</v>
      </c>
      <c r="K1" s="3" t="s">
        <v>57</v>
      </c>
    </row>
    <row r="2" spans="1:11" x14ac:dyDescent="0.3">
      <c r="A2">
        <v>1</v>
      </c>
      <c r="B2" t="s">
        <v>58</v>
      </c>
      <c r="C2">
        <v>1</v>
      </c>
      <c r="D2">
        <v>1</v>
      </c>
      <c r="E2">
        <v>1</v>
      </c>
      <c r="F2">
        <v>1</v>
      </c>
      <c r="H2" t="s">
        <v>59</v>
      </c>
      <c r="I2">
        <v>1</v>
      </c>
      <c r="J2" t="s">
        <v>60</v>
      </c>
      <c r="K2">
        <v>1</v>
      </c>
    </row>
    <row r="3" spans="1:11" x14ac:dyDescent="0.3">
      <c r="A3" s="4">
        <v>2</v>
      </c>
      <c r="B3" s="4" t="s">
        <v>60</v>
      </c>
      <c r="C3" s="4">
        <v>3</v>
      </c>
      <c r="D3" s="4">
        <v>3</v>
      </c>
      <c r="E3" s="4">
        <v>1</v>
      </c>
      <c r="F3" s="4">
        <v>1</v>
      </c>
      <c r="G3" s="4">
        <v>1</v>
      </c>
      <c r="H3" s="4" t="s">
        <v>61</v>
      </c>
      <c r="I3" s="4">
        <v>2</v>
      </c>
      <c r="J3" s="4"/>
      <c r="K3" s="4">
        <v>0</v>
      </c>
    </row>
    <row r="4" spans="1:11" x14ac:dyDescent="0.3">
      <c r="A4">
        <v>3</v>
      </c>
      <c r="B4" t="s">
        <v>62</v>
      </c>
      <c r="C4">
        <v>2</v>
      </c>
      <c r="D4">
        <v>4</v>
      </c>
      <c r="E4">
        <v>2</v>
      </c>
      <c r="F4">
        <v>2</v>
      </c>
      <c r="H4" t="s">
        <v>63</v>
      </c>
      <c r="I4">
        <v>3</v>
      </c>
      <c r="J4" t="s">
        <v>64</v>
      </c>
      <c r="K4">
        <v>1</v>
      </c>
    </row>
    <row r="5" spans="1:11" x14ac:dyDescent="0.3">
      <c r="A5" s="4">
        <v>4</v>
      </c>
      <c r="B5" s="4" t="s">
        <v>65</v>
      </c>
      <c r="C5" s="4">
        <v>1</v>
      </c>
      <c r="D5" s="4">
        <v>5</v>
      </c>
      <c r="E5" s="4">
        <v>3</v>
      </c>
      <c r="F5" s="4">
        <v>3</v>
      </c>
      <c r="G5" s="4">
        <v>1</v>
      </c>
      <c r="H5" s="4" t="s">
        <v>66</v>
      </c>
      <c r="I5" s="4">
        <v>4</v>
      </c>
      <c r="J5" s="4" t="s">
        <v>67</v>
      </c>
      <c r="K5" s="4">
        <v>1</v>
      </c>
    </row>
    <row r="6" spans="1:11" x14ac:dyDescent="0.3">
      <c r="A6">
        <v>5</v>
      </c>
      <c r="B6" t="s">
        <v>67</v>
      </c>
      <c r="C6">
        <v>1</v>
      </c>
      <c r="D6">
        <v>6</v>
      </c>
      <c r="E6">
        <v>1</v>
      </c>
      <c r="F6">
        <v>4</v>
      </c>
      <c r="H6" t="s">
        <v>68</v>
      </c>
      <c r="I6">
        <v>5</v>
      </c>
      <c r="J6" t="s">
        <v>69</v>
      </c>
      <c r="K6">
        <v>1</v>
      </c>
    </row>
    <row r="7" spans="1:11" x14ac:dyDescent="0.3">
      <c r="A7" s="4">
        <v>6</v>
      </c>
      <c r="B7" s="4" t="s">
        <v>70</v>
      </c>
      <c r="C7" s="4">
        <v>1</v>
      </c>
      <c r="D7" s="4">
        <v>1</v>
      </c>
      <c r="E7" s="4">
        <v>4</v>
      </c>
      <c r="F7" s="4">
        <v>5</v>
      </c>
      <c r="G7" s="4"/>
      <c r="H7" s="4" t="s">
        <v>71</v>
      </c>
      <c r="I7" s="4">
        <v>6</v>
      </c>
      <c r="J7" s="4" t="s">
        <v>72</v>
      </c>
      <c r="K7" s="4">
        <v>1</v>
      </c>
    </row>
    <row r="8" spans="1:11" x14ac:dyDescent="0.3">
      <c r="A8">
        <v>7</v>
      </c>
      <c r="B8" t="s">
        <v>73</v>
      </c>
      <c r="C8">
        <v>1</v>
      </c>
      <c r="D8">
        <v>2</v>
      </c>
      <c r="E8">
        <v>1</v>
      </c>
      <c r="G8">
        <v>1</v>
      </c>
      <c r="H8" t="s">
        <v>74</v>
      </c>
      <c r="I8">
        <v>7</v>
      </c>
      <c r="K8">
        <v>0</v>
      </c>
    </row>
    <row r="9" spans="1:11" x14ac:dyDescent="0.3">
      <c r="A9" s="4">
        <v>8</v>
      </c>
      <c r="B9" s="4" t="s">
        <v>75</v>
      </c>
      <c r="C9" s="4">
        <v>2</v>
      </c>
      <c r="D9" s="4">
        <v>1</v>
      </c>
      <c r="E9" s="4">
        <v>1</v>
      </c>
      <c r="F9" s="4">
        <v>4</v>
      </c>
      <c r="G9" s="4"/>
      <c r="H9" s="4" t="s">
        <v>76</v>
      </c>
      <c r="I9" s="4">
        <v>3</v>
      </c>
      <c r="J9" s="4" t="s">
        <v>77</v>
      </c>
      <c r="K9" s="4">
        <v>1</v>
      </c>
    </row>
    <row r="10" spans="1:11" x14ac:dyDescent="0.3">
      <c r="A10">
        <v>9</v>
      </c>
      <c r="B10" t="s">
        <v>78</v>
      </c>
      <c r="C10">
        <v>4</v>
      </c>
      <c r="D10">
        <v>3</v>
      </c>
      <c r="E10">
        <v>5</v>
      </c>
      <c r="F10">
        <v>6</v>
      </c>
      <c r="G10">
        <v>1</v>
      </c>
      <c r="H10" t="s">
        <v>79</v>
      </c>
      <c r="I10">
        <v>8</v>
      </c>
      <c r="J10" t="s">
        <v>80</v>
      </c>
      <c r="K10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selection activeCell="H5" sqref="H5"/>
    </sheetView>
  </sheetViews>
  <sheetFormatPr baseColWidth="10" defaultColWidth="8.88671875" defaultRowHeight="14.4" x14ac:dyDescent="0.3"/>
  <cols>
    <col min="1" max="1" width="12" customWidth="1"/>
    <col min="2" max="2" width="25" customWidth="1"/>
  </cols>
  <sheetData>
    <row r="1" spans="1:2" x14ac:dyDescent="0.3">
      <c r="A1" s="3" t="s">
        <v>49</v>
      </c>
      <c r="B1" s="3" t="s">
        <v>81</v>
      </c>
    </row>
    <row r="2" spans="1:2" x14ac:dyDescent="0.3">
      <c r="A2">
        <v>1</v>
      </c>
      <c r="B2" t="s">
        <v>82</v>
      </c>
    </row>
    <row r="3" spans="1:2" x14ac:dyDescent="0.3">
      <c r="A3" s="4">
        <v>2</v>
      </c>
      <c r="B3" s="4" t="s">
        <v>83</v>
      </c>
    </row>
    <row r="4" spans="1:2" x14ac:dyDescent="0.3">
      <c r="A4">
        <v>3</v>
      </c>
      <c r="B4" t="s">
        <v>84</v>
      </c>
    </row>
    <row r="5" spans="1:2" x14ac:dyDescent="0.3">
      <c r="A5" s="4">
        <v>4</v>
      </c>
      <c r="B5" s="4" t="s">
        <v>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>
      <selection activeCell="I10" sqref="I10"/>
    </sheetView>
  </sheetViews>
  <sheetFormatPr baseColWidth="10" defaultColWidth="8.88671875" defaultRowHeight="14.4" x14ac:dyDescent="0.3"/>
  <cols>
    <col min="1" max="1" width="12" customWidth="1"/>
    <col min="2" max="2" width="25" customWidth="1"/>
  </cols>
  <sheetData>
    <row r="1" spans="1:2" x14ac:dyDescent="0.3">
      <c r="A1" s="3" t="s">
        <v>50</v>
      </c>
      <c r="B1" s="3" t="s">
        <v>86</v>
      </c>
    </row>
    <row r="2" spans="1:2" x14ac:dyDescent="0.3">
      <c r="A2">
        <v>1</v>
      </c>
      <c r="B2" t="s">
        <v>8</v>
      </c>
    </row>
    <row r="3" spans="1:2" x14ac:dyDescent="0.3">
      <c r="A3" s="4">
        <v>2</v>
      </c>
      <c r="B3" s="4" t="s">
        <v>10</v>
      </c>
    </row>
    <row r="4" spans="1:2" x14ac:dyDescent="0.3">
      <c r="A4">
        <v>3</v>
      </c>
      <c r="B4" t="s">
        <v>12</v>
      </c>
    </row>
    <row r="5" spans="1:2" x14ac:dyDescent="0.3">
      <c r="A5" s="4">
        <v>4</v>
      </c>
      <c r="B5" s="4" t="s">
        <v>14</v>
      </c>
    </row>
    <row r="6" spans="1:2" x14ac:dyDescent="0.3">
      <c r="A6">
        <v>5</v>
      </c>
      <c r="B6" t="s">
        <v>16</v>
      </c>
    </row>
    <row r="7" spans="1:2" x14ac:dyDescent="0.3">
      <c r="A7" s="4">
        <v>6</v>
      </c>
      <c r="B7" s="4" t="s">
        <v>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"/>
  <sheetViews>
    <sheetView workbookViewId="0">
      <selection activeCell="G5" sqref="G5"/>
    </sheetView>
  </sheetViews>
  <sheetFormatPr baseColWidth="10" defaultColWidth="8.88671875" defaultRowHeight="14.4" x14ac:dyDescent="0.3"/>
  <cols>
    <col min="1" max="1" width="12" customWidth="1"/>
    <col min="2" max="2" width="25" customWidth="1"/>
    <col min="3" max="3" width="14" customWidth="1"/>
  </cols>
  <sheetData>
    <row r="1" spans="1:3" x14ac:dyDescent="0.3">
      <c r="A1" s="3" t="s">
        <v>51</v>
      </c>
      <c r="B1" s="3" t="s">
        <v>87</v>
      </c>
      <c r="C1" s="3" t="s">
        <v>88</v>
      </c>
    </row>
    <row r="2" spans="1:3" x14ac:dyDescent="0.3">
      <c r="A2">
        <v>1</v>
      </c>
      <c r="B2" t="s">
        <v>9</v>
      </c>
      <c r="C2">
        <v>92190</v>
      </c>
    </row>
    <row r="3" spans="1:3" x14ac:dyDescent="0.3">
      <c r="A3" s="4">
        <v>2</v>
      </c>
      <c r="B3" s="4" t="s">
        <v>11</v>
      </c>
      <c r="C3" s="4">
        <v>92130</v>
      </c>
    </row>
    <row r="4" spans="1:3" x14ac:dyDescent="0.3">
      <c r="A4">
        <v>3</v>
      </c>
      <c r="B4" t="s">
        <v>13</v>
      </c>
      <c r="C4">
        <v>92140</v>
      </c>
    </row>
    <row r="5" spans="1:3" x14ac:dyDescent="0.3">
      <c r="A5" s="4">
        <v>4</v>
      </c>
      <c r="B5" s="4" t="s">
        <v>15</v>
      </c>
      <c r="C5" s="4">
        <v>92170</v>
      </c>
    </row>
    <row r="6" spans="1:3" x14ac:dyDescent="0.3">
      <c r="A6">
        <v>5</v>
      </c>
      <c r="B6" t="s">
        <v>17</v>
      </c>
      <c r="C6">
        <v>92320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"/>
  <sheetViews>
    <sheetView workbookViewId="0">
      <selection activeCell="H20" sqref="H20"/>
    </sheetView>
  </sheetViews>
  <sheetFormatPr baseColWidth="10" defaultColWidth="8.88671875" defaultRowHeight="14.4" x14ac:dyDescent="0.3"/>
  <cols>
    <col min="1" max="2" width="16" customWidth="1"/>
    <col min="3" max="3" width="15" customWidth="1"/>
  </cols>
  <sheetData>
    <row r="1" spans="1:3" x14ac:dyDescent="0.3">
      <c r="A1" s="3" t="s">
        <v>52</v>
      </c>
      <c r="B1" s="3" t="s">
        <v>89</v>
      </c>
      <c r="C1" s="3" t="s">
        <v>90</v>
      </c>
    </row>
    <row r="2" spans="1:3" x14ac:dyDescent="0.3">
      <c r="A2">
        <v>1</v>
      </c>
      <c r="B2" t="s">
        <v>91</v>
      </c>
      <c r="C2" t="s">
        <v>92</v>
      </c>
    </row>
    <row r="3" spans="1:3" x14ac:dyDescent="0.3">
      <c r="A3" s="4">
        <v>2</v>
      </c>
      <c r="B3" s="4" t="s">
        <v>93</v>
      </c>
      <c r="C3" s="4" t="s">
        <v>92</v>
      </c>
    </row>
    <row r="4" spans="1:3" x14ac:dyDescent="0.3">
      <c r="A4">
        <v>3</v>
      </c>
      <c r="B4" t="s">
        <v>94</v>
      </c>
      <c r="C4" t="s">
        <v>95</v>
      </c>
    </row>
    <row r="5" spans="1:3" x14ac:dyDescent="0.3">
      <c r="A5" s="4">
        <v>4</v>
      </c>
      <c r="B5" s="4" t="s">
        <v>96</v>
      </c>
      <c r="C5" s="4" t="s">
        <v>92</v>
      </c>
    </row>
    <row r="6" spans="1:3" x14ac:dyDescent="0.3">
      <c r="A6">
        <v>5</v>
      </c>
      <c r="B6" t="s">
        <v>97</v>
      </c>
      <c r="C6" t="s">
        <v>98</v>
      </c>
    </row>
    <row r="7" spans="1:3" x14ac:dyDescent="0.3">
      <c r="A7" s="4">
        <v>6</v>
      </c>
      <c r="B7" s="4" t="s">
        <v>99</v>
      </c>
      <c r="C7" s="4" t="s">
        <v>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/>
  </sheetViews>
  <sheetFormatPr baseColWidth="10" defaultColWidth="8.88671875" defaultRowHeight="14.4" x14ac:dyDescent="0.3"/>
  <cols>
    <col min="1" max="1" width="18" customWidth="1"/>
    <col min="2" max="2" width="16" customWidth="1"/>
    <col min="3" max="3" width="20" customWidth="1"/>
  </cols>
  <sheetData>
    <row r="1" spans="1:3" x14ac:dyDescent="0.3">
      <c r="A1" s="3" t="s">
        <v>53</v>
      </c>
      <c r="B1" s="3" t="s">
        <v>89</v>
      </c>
      <c r="C1" s="3" t="s">
        <v>90</v>
      </c>
    </row>
    <row r="2" spans="1:3" x14ac:dyDescent="0.3">
      <c r="A2">
        <v>1</v>
      </c>
      <c r="B2" t="s">
        <v>100</v>
      </c>
      <c r="C2" t="s">
        <v>101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9"/>
  <sheetViews>
    <sheetView workbookViewId="0"/>
  </sheetViews>
  <sheetFormatPr baseColWidth="10" defaultColWidth="8.88671875" defaultRowHeight="14.4" x14ac:dyDescent="0.3"/>
  <cols>
    <col min="1" max="1" width="12" customWidth="1"/>
    <col min="2" max="2" width="25" customWidth="1"/>
    <col min="3" max="3" width="10" customWidth="1"/>
  </cols>
  <sheetData>
    <row r="1" spans="1:3" x14ac:dyDescent="0.3">
      <c r="A1" s="3" t="s">
        <v>55</v>
      </c>
      <c r="B1" s="3" t="s">
        <v>102</v>
      </c>
      <c r="C1" s="3" t="s">
        <v>103</v>
      </c>
    </row>
    <row r="2" spans="1:3" x14ac:dyDescent="0.3">
      <c r="A2">
        <v>1</v>
      </c>
      <c r="B2" t="s">
        <v>104</v>
      </c>
      <c r="C2">
        <v>0</v>
      </c>
    </row>
    <row r="3" spans="1:3" x14ac:dyDescent="0.3">
      <c r="A3" s="4">
        <v>2</v>
      </c>
      <c r="B3" s="4" t="s">
        <v>105</v>
      </c>
      <c r="C3" s="4">
        <v>0</v>
      </c>
    </row>
    <row r="4" spans="1:3" x14ac:dyDescent="0.3">
      <c r="A4">
        <v>3</v>
      </c>
      <c r="B4" t="s">
        <v>106</v>
      </c>
      <c r="C4">
        <v>0</v>
      </c>
    </row>
    <row r="5" spans="1:3" x14ac:dyDescent="0.3">
      <c r="A5" s="4">
        <v>4</v>
      </c>
      <c r="B5" s="4" t="s">
        <v>107</v>
      </c>
      <c r="C5" s="4">
        <v>1</v>
      </c>
    </row>
    <row r="6" spans="1:3" x14ac:dyDescent="0.3">
      <c r="A6">
        <v>5</v>
      </c>
      <c r="B6" t="s">
        <v>108</v>
      </c>
      <c r="C6">
        <v>0</v>
      </c>
    </row>
    <row r="7" spans="1:3" x14ac:dyDescent="0.3">
      <c r="A7" s="4">
        <v>6</v>
      </c>
      <c r="B7" s="4" t="s">
        <v>109</v>
      </c>
      <c r="C7" s="4">
        <v>0</v>
      </c>
    </row>
    <row r="8" spans="1:3" x14ac:dyDescent="0.3">
      <c r="A8">
        <v>7</v>
      </c>
      <c r="B8" t="s">
        <v>110</v>
      </c>
      <c r="C8">
        <v>0</v>
      </c>
    </row>
    <row r="9" spans="1:3" x14ac:dyDescent="0.3">
      <c r="A9" s="4">
        <v>8</v>
      </c>
      <c r="B9" s="4" t="s">
        <v>111</v>
      </c>
      <c r="C9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README</vt:lpstr>
      <vt:lpstr>📊 Tableau de bord</vt:lpstr>
      <vt:lpstr>reclamations</vt:lpstr>
      <vt:lpstr>ref_canaux</vt:lpstr>
      <vt:lpstr>ref_motifs</vt:lpstr>
      <vt:lpstr>ref_communes</vt:lpstr>
      <vt:lpstr>ref_lignes_locales</vt:lpstr>
      <vt:lpstr>ref_lignes_regionales</vt:lpstr>
      <vt:lpstr>ref_declarants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Andriantsoanavalona Mandresy</cp:lastModifiedBy>
  <dcterms:created xsi:type="dcterms:W3CDTF">2026-03-19T14:56:59Z</dcterms:created>
  <dcterms:modified xsi:type="dcterms:W3CDTF">2026-03-20T08:37:44Z</dcterms:modified>
</cp:coreProperties>
</file>