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xique" sheetId="1" state="visible" r:id="rId1"/>
    <sheet xmlns:r="http://schemas.openxmlformats.org/officeDocument/2006/relationships" name="prestataires" sheetId="2" state="visible" r:id="rId2"/>
    <sheet xmlns:r="http://schemas.openxmlformats.org/officeDocument/2006/relationships" name="lignes_bus" sheetId="3" state="visible" r:id="rId3"/>
    <sheet xmlns:r="http://schemas.openxmlformats.org/officeDocument/2006/relationships" name="passe_par" sheetId="4" state="visible" r:id="rId4"/>
    <sheet xmlns:r="http://schemas.openxmlformats.org/officeDocument/2006/relationships" name="ref_communes" sheetId="5" state="visible" r:id="rId5"/>
    <sheet xmlns:r="http://schemas.openxmlformats.org/officeDocument/2006/relationships" name="ref_motifs" sheetId="6" state="visible" r:id="rId6"/>
    <sheet xmlns:r="http://schemas.openxmlformats.org/officeDocument/2006/relationships" name="reclamations" sheetId="7" state="visible" r:id="rId7"/>
    <sheet xmlns:r="http://schemas.openxmlformats.org/officeDocument/2006/relationships" name="📊 Tableau de bo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 &quot;j&quot;"/>
  </numFmts>
  <fonts count="4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4748B"/>
      <sz val="10"/>
    </font>
    <font>
      <name val="Calibri"/>
      <b val="1"/>
      <color rgb="00009FE3"/>
      <sz val="12"/>
    </font>
    <font>
      <name val="Consolas"/>
      <b val="1"/>
      <color rgb="001E3A5F"/>
      <sz val="10"/>
    </font>
    <font>
      <name val="Calibri"/>
      <color rgb="00333333"/>
      <sz val="10"/>
    </font>
    <font>
      <name val="Calibri"/>
      <b val="1"/>
      <color rgb="0015803D"/>
      <sz val="12"/>
    </font>
    <font>
      <name val="Consolas"/>
      <b val="1"/>
      <color rgb="0015803D"/>
      <sz val="10"/>
    </font>
    <font>
      <name val="Calibri"/>
      <b val="1"/>
      <color rgb="001E3A5F"/>
      <sz val="11"/>
    </font>
    <font>
      <name val="Calibri"/>
      <b val="1"/>
      <color rgb="000F766E"/>
      <sz val="10"/>
    </font>
    <font>
      <name val="Consolas"/>
      <i val="1"/>
      <color rgb="0064748B"/>
      <sz val="9"/>
    </font>
    <font>
      <name val="Calibri"/>
      <b val="1"/>
      <color rgb="00FFFFFF"/>
      <sz val="10"/>
    </font>
    <font>
      <name val="Calibri"/>
      <color rgb="00222222"/>
      <sz val="10"/>
    </font>
    <font>
      <name val="Consolas"/>
      <b val="1"/>
      <color rgb="007C3AED"/>
      <sz val="10"/>
    </font>
    <font>
      <name val="Calibri"/>
      <b val="1"/>
      <color rgb="0015803D"/>
      <sz val="10"/>
    </font>
    <font>
      <name val="Calibri"/>
      <b val="1"/>
      <color rgb="00D97706"/>
      <sz val="10"/>
    </font>
    <font>
      <name val="Calibri"/>
      <b val="1"/>
      <color rgb="00C0392B"/>
      <sz val="10"/>
    </font>
    <font>
      <name val="Calibri"/>
      <i val="1"/>
      <color rgb="0064748B"/>
      <sz val="9"/>
    </font>
    <font>
      <name val="Calibri"/>
      <i val="1"/>
      <color rgb="000F766E"/>
      <sz val="9"/>
    </font>
    <font>
      <name val="Calibri"/>
      <b val="1"/>
      <color rgb="001E3A5F"/>
      <sz val="10"/>
    </font>
    <font>
      <name val="Calibri"/>
      <color rgb="0064748B"/>
      <sz val="10"/>
    </font>
    <font>
      <name val="Calibri"/>
      <b val="1"/>
      <color rgb="00FFFFFF"/>
      <sz val="15"/>
    </font>
    <font>
      <name val="Calibri"/>
      <b val="1"/>
      <color rgb="001E3A5F"/>
      <sz val="9"/>
    </font>
    <font>
      <name val="Calibri"/>
      <b val="1"/>
      <color rgb="001E3A5F"/>
      <sz val="22"/>
    </font>
    <font>
      <name val="Calibri"/>
      <b val="1"/>
      <color rgb="0015803D"/>
      <sz val="9"/>
    </font>
    <font>
      <name val="Calibri"/>
      <b val="1"/>
      <color rgb="0015803D"/>
      <sz val="22"/>
    </font>
    <font>
      <name val="Calibri"/>
      <b val="1"/>
      <color rgb="00C0392B"/>
      <sz val="9"/>
    </font>
    <font>
      <name val="Calibri"/>
      <b val="1"/>
      <color rgb="00C0392B"/>
      <sz val="22"/>
    </font>
    <font>
      <name val="Calibri"/>
      <b val="1"/>
      <color rgb="00009FE3"/>
      <sz val="9"/>
    </font>
    <font>
      <name val="Calibri"/>
      <b val="1"/>
      <color rgb="00009FE3"/>
      <sz val="22"/>
    </font>
    <font>
      <name val="Calibri"/>
      <b val="1"/>
      <color rgb="00D97706"/>
      <sz val="9"/>
    </font>
    <font>
      <name val="Calibri"/>
      <b val="1"/>
      <color rgb="00D97706"/>
      <sz val="22"/>
    </font>
    <font>
      <name val="Calibri"/>
      <b val="1"/>
      <color rgb="001E3A5F"/>
      <sz val="12"/>
    </font>
    <font>
      <name val="Calibri"/>
      <b val="1"/>
      <color rgb="00FFFFFF"/>
      <sz val="9"/>
    </font>
    <font>
      <name val="Calibri"/>
      <b val="1"/>
      <color rgb="00C0392B"/>
      <sz val="16"/>
    </font>
    <font>
      <i val="1"/>
      <color rgb="0064748B"/>
      <sz val="9"/>
    </font>
    <font>
      <name val="Calibri"/>
      <b val="1"/>
      <color rgb="007C3AED"/>
      <sz val="16"/>
    </font>
    <font>
      <name val="Calibri"/>
      <b val="1"/>
      <color rgb="0015803D"/>
      <sz val="16"/>
    </font>
    <font>
      <name val="Calibri"/>
      <b val="1"/>
      <color rgb="00C0392B"/>
      <sz val="11"/>
    </font>
    <font>
      <name val="Calibri"/>
      <b val="1"/>
      <color rgb="00222222"/>
      <sz val="10"/>
    </font>
    <font>
      <name val="Calibri"/>
      <b val="1"/>
      <color rgb="0015803D"/>
      <sz val="11"/>
    </font>
    <font>
      <name val="Calibri"/>
      <color rgb="0064748B"/>
      <sz val="9"/>
    </font>
    <font>
      <name val="Calibri"/>
      <b val="1"/>
      <color rgb="007C3AED"/>
      <sz val="11"/>
    </font>
    <font>
      <name val="Calibri"/>
      <b val="1"/>
      <color rgb="007C3AED"/>
      <sz val="10"/>
    </font>
    <font>
      <name val="Calibri"/>
      <b val="1"/>
      <color rgb="00009FE3"/>
      <sz val="11"/>
    </font>
    <font>
      <name val="Calibri"/>
      <b val="1"/>
      <color rgb="00009FE3"/>
      <sz val="10"/>
    </font>
  </fonts>
  <fills count="1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F6FF"/>
      </patternFill>
    </fill>
    <fill>
      <patternFill patternType="solid">
        <fgColor rgb="00F7FEE7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D97706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0FDFA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F5F0FF"/>
      </patternFill>
    </fill>
    <fill>
      <patternFill patternType="solid">
        <fgColor rgb="00009FE3"/>
      </patternFill>
    </fill>
    <fill>
      <patternFill patternType="solid">
        <fgColor rgb="00FFF0F0"/>
      </patternFill>
    </fill>
    <fill>
      <patternFill patternType="solid">
        <fgColor rgb="00C0392B"/>
      </patternFill>
    </fill>
    <fill>
      <patternFill patternType="solid">
        <fgColor rgb="0015803D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C0392B"/>
      </left>
      <right style="thin">
        <color rgb="00C0392B"/>
      </right>
      <top style="thin">
        <color rgb="00C0392B"/>
      </top>
      <bottom style="thin">
        <color rgb="00C0392B"/>
      </bottom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15803D"/>
      </left>
      <right style="thin">
        <color rgb="0015803D"/>
      </right>
      <top style="thin">
        <color rgb="0015803D"/>
      </top>
      <bottom style="thin">
        <color rgb="0015803D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10" borderId="0" applyAlignment="1" pivotButton="0" quotePrefix="0" xfId="0">
      <alignment horizontal="left" vertical="center"/>
    </xf>
    <xf numFmtId="0" fontId="11" fillId="11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9" fillId="10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0" fontId="19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16" fillId="15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3" fillId="16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33" fillId="12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33" fillId="17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34" fillId="15" borderId="2" applyAlignment="1" pivotButton="0" quotePrefix="0" xfId="0">
      <alignment horizontal="center" vertical="center"/>
    </xf>
    <xf numFmtId="0" fontId="36" fillId="13" borderId="3" applyAlignment="1" pivotButton="0" quotePrefix="0" xfId="0">
      <alignment horizontal="center" vertical="center"/>
    </xf>
    <xf numFmtId="0" fontId="37" fillId="8" borderId="4" applyAlignment="1" pivotButton="0" quotePrefix="0" xfId="0">
      <alignment horizontal="center" vertical="center"/>
    </xf>
    <xf numFmtId="0" fontId="35" fillId="15" borderId="2" applyAlignment="1" pivotButton="0" quotePrefix="0" xfId="0">
      <alignment horizontal="center"/>
    </xf>
    <xf numFmtId="0" fontId="35" fillId="13" borderId="3" applyAlignment="1" pivotButton="0" quotePrefix="0" xfId="0">
      <alignment horizontal="center"/>
    </xf>
    <xf numFmtId="0" fontId="35" fillId="8" borderId="4" applyAlignment="1" pivotButton="0" quotePrefix="0" xfId="0">
      <alignment horizontal="center"/>
    </xf>
    <xf numFmtId="0" fontId="38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0" fontId="11" fillId="16" borderId="1" applyAlignment="1" pivotButton="0" quotePrefix="0" xfId="0">
      <alignment horizontal="center" vertical="center" wrapText="1"/>
    </xf>
    <xf numFmtId="0" fontId="39" fillId="6" borderId="1" applyAlignment="1" pivotButton="0" quotePrefix="0" xfId="0">
      <alignment horizontal="center" vertical="center"/>
    </xf>
    <xf numFmtId="0" fontId="43" fillId="6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left" vertical="center"/>
    </xf>
    <xf numFmtId="0" fontId="39" fillId="15" borderId="1" applyAlignment="1" pivotButton="0" quotePrefix="0" xfId="0">
      <alignment horizontal="center" vertical="center"/>
    </xf>
    <xf numFmtId="0" fontId="43" fillId="13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11" fillId="17" borderId="1" applyAlignment="1" pivotButton="0" quotePrefix="0" xfId="0">
      <alignment horizontal="center" vertical="center" wrapText="1"/>
    </xf>
    <xf numFmtId="0" fontId="41" fillId="8" borderId="1" applyAlignment="1" pivotButton="0" quotePrefix="0" xfId="0">
      <alignment horizontal="left" vertical="center"/>
    </xf>
    <xf numFmtId="0" fontId="39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41" fillId="6" borderId="1" applyAlignment="1" pivotButton="0" quotePrefix="0" xfId="0">
      <alignment horizontal="left" vertical="center"/>
    </xf>
    <xf numFmtId="0" fontId="39" fillId="3" borderId="1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5" fillId="3" borderId="1" applyAlignment="1" pivotButton="0" quotePrefix="0" xfId="0">
      <alignment horizontal="center" vertical="center"/>
    </xf>
    <xf numFmtId="0" fontId="45" fillId="6" borderId="1" applyAlignment="1" pivotButton="0" quotePrefix="0" xfId="0">
      <alignment horizontal="center" vertical="center"/>
    </xf>
    <xf numFmtId="0" fontId="17" fillId="9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</font>
      <fill>
        <patternFill patternType="solid">
          <fgColor rgb="00FFE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B1:D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2" customWidth="1" min="3" max="3"/>
    <col width="30" customWidth="1" min="4" max="4"/>
  </cols>
  <sheetData>
    <row r="1" ht="36" customHeight="1">
      <c r="B1" s="1" t="inlineStr">
        <is>
          <t>RÉCLAMATIONS USAGERS — MODÈLE DE CORRECTION COMPLET</t>
        </is>
      </c>
    </row>
    <row r="2">
      <c r="B2" s="2" t="inlineStr">
        <is>
          <t>Serious Game · de la construction des tables (OLTP) au tableau de suivi (OLAP)</t>
        </is>
      </c>
    </row>
    <row r="4">
      <c r="B4" s="3" t="inlineStr">
        <is>
          <t>① PARTIE OLTP — saisir &amp; stocker</t>
        </is>
      </c>
    </row>
    <row r="5">
      <c r="B5" s="4" t="inlineStr">
        <is>
          <t>prestataires</t>
        </is>
      </c>
      <c r="C5" s="5" t="inlineStr">
        <is>
          <t>Les opérateurs de transport — un contrat par prestataire.</t>
        </is>
      </c>
    </row>
    <row r="6">
      <c r="B6" s="4" t="inlineStr">
        <is>
          <t>lignes_bus</t>
        </is>
      </c>
      <c r="C6" s="5" t="inlineStr">
        <is>
          <t>Les lignes. FK → prestataires. Flag actif pour suspendre sans supprimer.</t>
        </is>
      </c>
    </row>
    <row r="7">
      <c r="B7" s="4" t="inlineStr">
        <is>
          <t>passe_par</t>
        </is>
      </c>
      <c r="C7" s="5" t="inlineStr">
        <is>
          <t>Table de JONCTION : une ligne dessert plusieurs communes (n–n).</t>
        </is>
      </c>
    </row>
    <row r="8">
      <c r="B8" s="4" t="inlineStr">
        <is>
          <t>ref_communes</t>
        </is>
      </c>
      <c r="C8" s="5" t="inlineStr">
        <is>
          <t>Référentiel des communes desservies.</t>
        </is>
      </c>
    </row>
    <row r="9">
      <c r="B9" s="4" t="inlineStr">
        <is>
          <t>ref_motifs</t>
        </is>
      </c>
      <c r="C9" s="5" t="inlineStr">
        <is>
          <t>Liste fermée des motifs de réclamation (1 à 6).</t>
        </is>
      </c>
    </row>
    <row r="10">
      <c r="B10" s="4" t="inlineStr">
        <is>
          <t>reclamations</t>
        </is>
      </c>
      <c r="C10" s="5" t="inlineStr">
        <is>
          <t>TABLE CENTRALE — 1 ligne = 1 réclamation. FK vers ligne, motif, commune.</t>
        </is>
      </c>
    </row>
    <row r="12">
      <c r="B12" s="6" t="inlineStr">
        <is>
          <t>② PARTIE OLAP — lire &amp; analyser</t>
        </is>
      </c>
    </row>
    <row r="13">
      <c r="B13" s="7" t="inlineStr">
        <is>
          <t>📊 Tableau de bord</t>
        </is>
      </c>
      <c r="C13" s="8" t="inlineStr">
        <is>
          <t>Vue de synthèse. Se recalcule seul à chaque nouvelle réclamation saisie.</t>
        </is>
      </c>
    </row>
    <row r="15">
      <c r="B15" s="9" t="inlineStr">
        <is>
          <t>LES 3 GRANDES QUESTIONS auxquelles répond le tableau de bord :</t>
        </is>
      </c>
    </row>
    <row r="16">
      <c r="B16" s="10" t="inlineStr">
        <is>
          <t>🔴  Quel est le prestataire le plus problématique ? (réclamations non clôturées)</t>
        </is>
      </c>
    </row>
    <row r="17">
      <c r="B17" s="10" t="inlineStr">
        <is>
          <t>🟣  Quelle commune compte le plus de réclamations ?</t>
        </is>
      </c>
    </row>
    <row r="18">
      <c r="B18" s="10" t="inlineStr">
        <is>
          <t>🟢  Quelle ligne pose le plus de problèmes ?</t>
        </is>
      </c>
    </row>
    <row r="20">
      <c r="B20" s="11" t="inlineStr">
        <is>
          <t>🔗 Chaîne de jointure :</t>
        </is>
      </c>
    </row>
    <row r="21">
      <c r="B21" s="12" t="inlineStr">
        <is>
          <t>reclamations → lignes_bus → prestataires    |    reclamations → ref_communes    |    lignes_bus ←→ passe_par ←→ ref_communes</t>
        </is>
      </c>
    </row>
  </sheetData>
  <mergeCells count="6">
    <mergeCell ref="B1:D1"/>
    <mergeCell ref="B17:D17"/>
    <mergeCell ref="B18:D18"/>
    <mergeCell ref="B2:D2"/>
    <mergeCell ref="B21:D21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4A3B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8" customWidth="1" min="4" max="4"/>
    <col width="18" customWidth="1" min="5" max="5"/>
  </cols>
  <sheetData>
    <row r="1" ht="26" customHeight="1">
      <c r="A1" s="13" t="inlineStr">
        <is>
          <t>id_prestataire</t>
        </is>
      </c>
      <c r="B1" s="13" t="inlineStr">
        <is>
          <t>nom_prestataire</t>
        </is>
      </c>
      <c r="C1" s="13" t="inlineStr">
        <is>
          <t>type_contrat</t>
        </is>
      </c>
      <c r="D1" s="13" t="inlineStr">
        <is>
          <t>date_debut_contrat</t>
        </is>
      </c>
      <c r="E1" s="13" t="inlineStr">
        <is>
          <t>date_fin_contrat</t>
        </is>
      </c>
    </row>
    <row r="2">
      <c r="A2" s="14" t="inlineStr">
        <is>
          <t>P001</t>
        </is>
      </c>
      <c r="B2" s="15" t="inlineStr">
        <is>
          <t>Keolis Île-de-France</t>
        </is>
      </c>
      <c r="C2" s="16" t="inlineStr">
        <is>
          <t>DSP</t>
        </is>
      </c>
      <c r="D2" s="17" t="n">
        <v>44562</v>
      </c>
      <c r="E2" s="17" t="n">
        <v>46387</v>
      </c>
    </row>
    <row r="3">
      <c r="A3" s="18" t="inlineStr">
        <is>
          <t>P002</t>
        </is>
      </c>
      <c r="B3" s="19" t="inlineStr">
        <is>
          <t>RATP Dev</t>
        </is>
      </c>
      <c r="C3" s="20" t="inlineStr">
        <is>
          <t>DSP</t>
        </is>
      </c>
      <c r="D3" s="21" t="n">
        <v>43983</v>
      </c>
      <c r="E3" s="21" t="n">
        <v>45808</v>
      </c>
    </row>
    <row r="4">
      <c r="A4" s="14" t="inlineStr">
        <is>
          <t>P003</t>
        </is>
      </c>
      <c r="B4" s="15" t="inlineStr">
        <is>
          <t>Transdev Île-de-France</t>
        </is>
      </c>
      <c r="C4" s="16" t="inlineStr">
        <is>
          <t>DSP</t>
        </is>
      </c>
      <c r="D4" s="17" t="n">
        <v>44256</v>
      </c>
      <c r="E4" s="17" t="n">
        <v>46081</v>
      </c>
    </row>
    <row r="5">
      <c r="A5" s="18" t="inlineStr">
        <is>
          <t>P004</t>
        </is>
      </c>
      <c r="B5" s="19" t="inlineStr">
        <is>
          <t>ATM Croix du Sud</t>
        </is>
      </c>
      <c r="C5" s="20" t="inlineStr">
        <is>
          <t>Convention</t>
        </is>
      </c>
      <c r="D5" s="21" t="n">
        <v>44927</v>
      </c>
      <c r="E5" s="21" t="n">
        <v>46752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9" customWidth="1" min="5" max="5"/>
    <col width="12" customWidth="1" min="6" max="6"/>
    <col width="13" customWidth="1" min="7" max="7"/>
  </cols>
  <sheetData>
    <row r="1" ht="30" customHeight="1">
      <c r="A1" s="13" t="inlineStr">
        <is>
          <t>id_ligne</t>
        </is>
      </c>
      <c r="B1" s="13" t="inlineStr">
        <is>
          <t>numero</t>
        </is>
      </c>
      <c r="C1" s="13" t="inlineStr">
        <is>
          <t>id_prestataire</t>
        </is>
      </c>
      <c r="D1" s="13" t="inlineStr">
        <is>
          <t>type_service</t>
        </is>
      </c>
      <c r="E1" s="13" t="inlineStr">
        <is>
          <t>actif</t>
        </is>
      </c>
      <c r="F1" s="22" t="inlineStr">
        <is>
          <t>nb_reclam</t>
        </is>
      </c>
      <c r="G1" s="22" t="inlineStr">
        <is>
          <t>nb_non_clot</t>
        </is>
      </c>
    </row>
    <row r="2">
      <c r="A2" s="23" t="inlineStr">
        <is>
          <t>L169</t>
        </is>
      </c>
      <c r="B2" s="24" t="inlineStr">
        <is>
          <t>169</t>
        </is>
      </c>
      <c r="C2" s="25" t="inlineStr">
        <is>
          <t>P003</t>
        </is>
      </c>
      <c r="D2" s="24" t="inlineStr">
        <is>
          <t>local</t>
        </is>
      </c>
      <c r="E2" s="26" t="n">
        <v>1</v>
      </c>
      <c r="F2" s="27">
        <f>COUNTIF(reclamations!$C:$C,$A2)</f>
        <v/>
      </c>
      <c r="G2" s="27">
        <f>COUNTIFS(reclamations!$C:$C,$A2,reclamations!$H:$H,0)</f>
        <v/>
      </c>
    </row>
    <row r="3">
      <c r="A3" s="28" t="inlineStr">
        <is>
          <t>L323</t>
        </is>
      </c>
      <c r="B3" s="20" t="inlineStr">
        <is>
          <t>323</t>
        </is>
      </c>
      <c r="C3" s="29" t="inlineStr">
        <is>
          <t>P003</t>
        </is>
      </c>
      <c r="D3" s="20" t="inlineStr">
        <is>
          <t>local</t>
        </is>
      </c>
      <c r="E3" s="30" t="n">
        <v>1</v>
      </c>
      <c r="F3" s="27">
        <f>COUNTIF(reclamations!$C:$C,$A3)</f>
        <v/>
      </c>
      <c r="G3" s="27">
        <f>COUNTIFS(reclamations!$C:$C,$A3,reclamations!$H:$H,0)</f>
        <v/>
      </c>
    </row>
    <row r="4">
      <c r="A4" s="23" t="inlineStr">
        <is>
          <t>L389</t>
        </is>
      </c>
      <c r="B4" s="24" t="inlineStr">
        <is>
          <t>389</t>
        </is>
      </c>
      <c r="C4" s="25" t="inlineStr">
        <is>
          <t>P004</t>
        </is>
      </c>
      <c r="D4" s="24" t="inlineStr">
        <is>
          <t>local</t>
        </is>
      </c>
      <c r="E4" s="26" t="n">
        <v>1</v>
      </c>
      <c r="F4" s="27">
        <f>COUNTIF(reclamations!$C:$C,$A4)</f>
        <v/>
      </c>
      <c r="G4" s="27">
        <f>COUNTIFS(reclamations!$C:$C,$A4,reclamations!$H:$H,0)</f>
        <v/>
      </c>
    </row>
    <row r="5">
      <c r="A5" s="28" t="inlineStr">
        <is>
          <t>L290</t>
        </is>
      </c>
      <c r="B5" s="20" t="inlineStr">
        <is>
          <t>290</t>
        </is>
      </c>
      <c r="C5" s="29" t="inlineStr">
        <is>
          <t>P004</t>
        </is>
      </c>
      <c r="D5" s="20" t="inlineStr">
        <is>
          <t>local</t>
        </is>
      </c>
      <c r="E5" s="31" t="n">
        <v>0</v>
      </c>
      <c r="F5" s="27">
        <f>COUNTIF(reclamations!$C:$C,$A5)</f>
        <v/>
      </c>
      <c r="G5" s="27">
        <f>COUNTIFS(reclamations!$C:$C,$A5,reclamations!$H:$H,0)</f>
        <v/>
      </c>
    </row>
    <row r="6">
      <c r="A6" s="23" t="inlineStr">
        <is>
          <t>L058</t>
        </is>
      </c>
      <c r="B6" s="24" t="inlineStr">
        <is>
          <t>58</t>
        </is>
      </c>
      <c r="C6" s="25" t="inlineStr">
        <is>
          <t>P002</t>
        </is>
      </c>
      <c r="D6" s="24" t="inlineStr">
        <is>
          <t>local</t>
        </is>
      </c>
      <c r="E6" s="26" t="n">
        <v>1</v>
      </c>
      <c r="F6" s="27">
        <f>COUNTIF(reclamations!$C:$C,$A6)</f>
        <v/>
      </c>
      <c r="G6" s="27">
        <f>COUNTIFS(reclamations!$C:$C,$A6,reclamations!$H:$H,0)</f>
        <v/>
      </c>
    </row>
    <row r="7">
      <c r="A7" s="28" t="inlineStr">
        <is>
          <t>LN118</t>
        </is>
      </c>
      <c r="B7" s="20" t="inlineStr">
        <is>
          <t>N118</t>
        </is>
      </c>
      <c r="C7" s="29" t="inlineStr">
        <is>
          <t>P002</t>
        </is>
      </c>
      <c r="D7" s="20" t="inlineStr">
        <is>
          <t>régional</t>
        </is>
      </c>
      <c r="E7" s="30" t="n">
        <v>1</v>
      </c>
      <c r="F7" s="27">
        <f>COUNTIF(reclamations!$C:$C,$A7)</f>
        <v/>
      </c>
      <c r="G7" s="27">
        <f>COUNTIFS(reclamations!$C:$C,$A7,reclamations!$H:$H,0)</f>
        <v/>
      </c>
    </row>
    <row r="8">
      <c r="A8" s="23" t="inlineStr">
        <is>
          <t>L291</t>
        </is>
      </c>
      <c r="B8" s="24" t="inlineStr">
        <is>
          <t>291</t>
        </is>
      </c>
      <c r="C8" s="25" t="inlineStr">
        <is>
          <t>P001</t>
        </is>
      </c>
      <c r="D8" s="24" t="inlineStr">
        <is>
          <t>local</t>
        </is>
      </c>
      <c r="E8" s="26" t="n">
        <v>1</v>
      </c>
      <c r="F8" s="27">
        <f>COUNTIF(reclamations!$C:$C,$A8)</f>
        <v/>
      </c>
      <c r="G8" s="27">
        <f>COUNTIFS(reclamations!$C:$C,$A8,reclamations!$H:$H,0)</f>
        <v/>
      </c>
    </row>
    <row r="9">
      <c r="A9" s="28" t="inlineStr">
        <is>
          <t>L289</t>
        </is>
      </c>
      <c r="B9" s="20" t="inlineStr">
        <is>
          <t>289</t>
        </is>
      </c>
      <c r="C9" s="29" t="inlineStr">
        <is>
          <t>P001</t>
        </is>
      </c>
      <c r="D9" s="20" t="inlineStr">
        <is>
          <t>local</t>
        </is>
      </c>
      <c r="E9" s="30" t="n">
        <v>1</v>
      </c>
      <c r="F9" s="27">
        <f>COUNTIF(reclamations!$C:$C,$A9)</f>
        <v/>
      </c>
      <c r="G9" s="27">
        <f>COUNTIFS(reclamations!$C:$C,$A9,reclamations!$H:$H,0)</f>
        <v/>
      </c>
    </row>
    <row r="11">
      <c r="A11" s="32" t="inlineStr">
        <is>
          <t>Les colonnes ambre se calculent par jointure sur [reclamations] — elles alimentent le tableau de bord.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766E"/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</cols>
  <sheetData>
    <row r="1">
      <c r="A1" s="33" t="inlineStr">
        <is>
          <t>⚡ TABLE DE JONCTION — une ligne dessert plusieurs communes (relation n–n)</t>
        </is>
      </c>
    </row>
    <row r="2" ht="24" customHeight="1">
      <c r="A2" s="34" t="inlineStr">
        <is>
          <t>id_ligne</t>
        </is>
      </c>
      <c r="B2" s="34" t="inlineStr">
        <is>
          <t>id_commune</t>
        </is>
      </c>
      <c r="C2" s="34" t="inlineStr">
        <is>
          <t>nom_commune (lookup)</t>
        </is>
      </c>
    </row>
    <row r="3">
      <c r="A3" s="28" t="inlineStr">
        <is>
          <t>L169</t>
        </is>
      </c>
      <c r="B3" s="29" t="inlineStr">
        <is>
          <t>C004</t>
        </is>
      </c>
      <c r="C3" s="35">
        <f>INDEX(ref_communes!$B:$B,MATCH($B3,ref_communes!$A:$A,0))</f>
        <v/>
      </c>
    </row>
    <row r="4">
      <c r="A4" s="36" t="inlineStr">
        <is>
          <t>L169</t>
        </is>
      </c>
      <c r="B4" s="37" t="inlineStr">
        <is>
          <t>C003</t>
        </is>
      </c>
      <c r="C4" s="38">
        <f>INDEX(ref_communes!$B:$B,MATCH($B4,ref_communes!$A:$A,0))</f>
        <v/>
      </c>
    </row>
    <row r="5">
      <c r="A5" s="28" t="inlineStr">
        <is>
          <t>L169</t>
        </is>
      </c>
      <c r="B5" s="29" t="inlineStr">
        <is>
          <t>C008</t>
        </is>
      </c>
      <c r="C5" s="35">
        <f>INDEX(ref_communes!$B:$B,MATCH($B5,ref_communes!$A:$A,0))</f>
        <v/>
      </c>
    </row>
    <row r="6">
      <c r="A6" s="36" t="inlineStr">
        <is>
          <t>L323</t>
        </is>
      </c>
      <c r="B6" s="37" t="inlineStr">
        <is>
          <t>C002</t>
        </is>
      </c>
      <c r="C6" s="38">
        <f>INDEX(ref_communes!$B:$B,MATCH($B6,ref_communes!$A:$A,0))</f>
        <v/>
      </c>
    </row>
    <row r="7">
      <c r="A7" s="28" t="inlineStr">
        <is>
          <t>L323</t>
        </is>
      </c>
      <c r="B7" s="29" t="inlineStr">
        <is>
          <t>C005</t>
        </is>
      </c>
      <c r="C7" s="35">
        <f>INDEX(ref_communes!$B:$B,MATCH($B7,ref_communes!$A:$A,0))</f>
        <v/>
      </c>
    </row>
    <row r="8">
      <c r="A8" s="36" t="inlineStr">
        <is>
          <t>L323</t>
        </is>
      </c>
      <c r="B8" s="37" t="inlineStr">
        <is>
          <t>C006</t>
        </is>
      </c>
      <c r="C8" s="38">
        <f>INDEX(ref_communes!$B:$B,MATCH($B8,ref_communes!$A:$A,0))</f>
        <v/>
      </c>
    </row>
    <row r="9">
      <c r="A9" s="28" t="inlineStr">
        <is>
          <t>L389</t>
        </is>
      </c>
      <c r="B9" s="29" t="inlineStr">
        <is>
          <t>C003</t>
        </is>
      </c>
      <c r="C9" s="35">
        <f>INDEX(ref_communes!$B:$B,MATCH($B9,ref_communes!$A:$A,0))</f>
        <v/>
      </c>
    </row>
    <row r="10">
      <c r="A10" s="36" t="inlineStr">
        <is>
          <t>L389</t>
        </is>
      </c>
      <c r="B10" s="37" t="inlineStr">
        <is>
          <t>C002</t>
        </is>
      </c>
      <c r="C10" s="38">
        <f>INDEX(ref_communes!$B:$B,MATCH($B10,ref_communes!$A:$A,0))</f>
        <v/>
      </c>
    </row>
    <row r="11">
      <c r="A11" s="28" t="inlineStr">
        <is>
          <t>L389</t>
        </is>
      </c>
      <c r="B11" s="29" t="inlineStr">
        <is>
          <t>C001</t>
        </is>
      </c>
      <c r="C11" s="35">
        <f>INDEX(ref_communes!$B:$B,MATCH($B11,ref_communes!$A:$A,0))</f>
        <v/>
      </c>
    </row>
    <row r="12">
      <c r="A12" s="36" t="inlineStr">
        <is>
          <t>L290</t>
        </is>
      </c>
      <c r="B12" s="37" t="inlineStr">
        <is>
          <t>C001</t>
        </is>
      </c>
      <c r="C12" s="38">
        <f>INDEX(ref_communes!$B:$B,MATCH($B12,ref_communes!$A:$A,0))</f>
        <v/>
      </c>
    </row>
    <row r="13">
      <c r="A13" s="28" t="inlineStr">
        <is>
          <t>L290</t>
        </is>
      </c>
      <c r="B13" s="29" t="inlineStr">
        <is>
          <t>C004</t>
        </is>
      </c>
      <c r="C13" s="35">
        <f>INDEX(ref_communes!$B:$B,MATCH($B13,ref_communes!$A:$A,0))</f>
        <v/>
      </c>
    </row>
    <row r="14">
      <c r="A14" s="36" t="inlineStr">
        <is>
          <t>L058</t>
        </is>
      </c>
      <c r="B14" s="37" t="inlineStr">
        <is>
          <t>C001</t>
        </is>
      </c>
      <c r="C14" s="38">
        <f>INDEX(ref_communes!$B:$B,MATCH($B14,ref_communes!$A:$A,0))</f>
        <v/>
      </c>
    </row>
    <row r="15">
      <c r="A15" s="28" t="inlineStr">
        <is>
          <t>L058</t>
        </is>
      </c>
      <c r="B15" s="29" t="inlineStr">
        <is>
          <t>C002</t>
        </is>
      </c>
      <c r="C15" s="35">
        <f>INDEX(ref_communes!$B:$B,MATCH($B15,ref_communes!$A:$A,0))</f>
        <v/>
      </c>
    </row>
    <row r="16">
      <c r="A16" s="36" t="inlineStr">
        <is>
          <t>L058</t>
        </is>
      </c>
      <c r="B16" s="37" t="inlineStr">
        <is>
          <t>C007</t>
        </is>
      </c>
      <c r="C16" s="38">
        <f>INDEX(ref_communes!$B:$B,MATCH($B16,ref_communes!$A:$A,0))</f>
        <v/>
      </c>
    </row>
    <row r="17">
      <c r="A17" s="28" t="inlineStr">
        <is>
          <t>LN118</t>
        </is>
      </c>
      <c r="B17" s="29" t="inlineStr">
        <is>
          <t>C003</t>
        </is>
      </c>
      <c r="C17" s="35">
        <f>INDEX(ref_communes!$B:$B,MATCH($B17,ref_communes!$A:$A,0))</f>
        <v/>
      </c>
    </row>
    <row r="18">
      <c r="A18" s="36" t="inlineStr">
        <is>
          <t>LN118</t>
        </is>
      </c>
      <c r="B18" s="37" t="inlineStr">
        <is>
          <t>C005</t>
        </is>
      </c>
      <c r="C18" s="38">
        <f>INDEX(ref_communes!$B:$B,MATCH($B18,ref_communes!$A:$A,0))</f>
        <v/>
      </c>
    </row>
    <row r="19">
      <c r="A19" s="28" t="inlineStr">
        <is>
          <t>LN118</t>
        </is>
      </c>
      <c r="B19" s="29" t="inlineStr">
        <is>
          <t>C008</t>
        </is>
      </c>
      <c r="C19" s="35">
        <f>INDEX(ref_communes!$B:$B,MATCH($B19,ref_communes!$A:$A,0))</f>
        <v/>
      </c>
    </row>
    <row r="20">
      <c r="A20" s="36" t="inlineStr">
        <is>
          <t>L291</t>
        </is>
      </c>
      <c r="B20" s="37" t="inlineStr">
        <is>
          <t>C005</t>
        </is>
      </c>
      <c r="C20" s="38">
        <f>INDEX(ref_communes!$B:$B,MATCH($B20,ref_communes!$A:$A,0))</f>
        <v/>
      </c>
    </row>
    <row r="21">
      <c r="A21" s="28" t="inlineStr">
        <is>
          <t>L291</t>
        </is>
      </c>
      <c r="B21" s="29" t="inlineStr">
        <is>
          <t>C006</t>
        </is>
      </c>
      <c r="C21" s="35">
        <f>INDEX(ref_communes!$B:$B,MATCH($B21,ref_communes!$A:$A,0))</f>
        <v/>
      </c>
    </row>
    <row r="22">
      <c r="A22" s="36" t="inlineStr">
        <is>
          <t>L289</t>
        </is>
      </c>
      <c r="B22" s="37" t="inlineStr">
        <is>
          <t>C004</t>
        </is>
      </c>
      <c r="C22" s="38">
        <f>INDEX(ref_communes!$B:$B,MATCH($B22,ref_communes!$A:$A,0))</f>
        <v/>
      </c>
    </row>
    <row r="23">
      <c r="A23" s="28" t="inlineStr">
        <is>
          <t>L289</t>
        </is>
      </c>
      <c r="B23" s="29" t="inlineStr">
        <is>
          <t>C007</t>
        </is>
      </c>
      <c r="C23" s="35">
        <f>INDEX(ref_communes!$B:$B,MATCH($B23,ref_communes!$A:$A,0))</f>
        <v/>
      </c>
    </row>
    <row r="25">
      <c r="A25" s="11" t="inlineStr">
        <is>
          <t>Nb de lignes passant par Meudon (C003) :</t>
        </is>
      </c>
      <c r="B25" s="39">
        <f>COUNTIF($B:$B,"C003")</f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4A3B8"/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</cols>
  <sheetData>
    <row r="1" ht="24" customHeight="1">
      <c r="A1" s="40" t="inlineStr">
        <is>
          <t>id_commune</t>
        </is>
      </c>
      <c r="B1" s="40" t="inlineStr">
        <is>
          <t>nom_commune</t>
        </is>
      </c>
    </row>
    <row r="2">
      <c r="A2" s="41" t="inlineStr">
        <is>
          <t>C001</t>
        </is>
      </c>
      <c r="B2" s="42" t="inlineStr">
        <is>
          <t>Boulogne-Billancourt</t>
        </is>
      </c>
    </row>
    <row r="3">
      <c r="A3" s="29" t="inlineStr">
        <is>
          <t>C002</t>
        </is>
      </c>
      <c r="B3" s="19" t="inlineStr">
        <is>
          <t>Issy-les-Moulineaux</t>
        </is>
      </c>
    </row>
    <row r="4">
      <c r="A4" s="41" t="inlineStr">
        <is>
          <t>C003</t>
        </is>
      </c>
      <c r="B4" s="42" t="inlineStr">
        <is>
          <t>Meudon</t>
        </is>
      </c>
    </row>
    <row r="5">
      <c r="A5" s="29" t="inlineStr">
        <is>
          <t>C004</t>
        </is>
      </c>
      <c r="B5" s="19" t="inlineStr">
        <is>
          <t>Clamart</t>
        </is>
      </c>
    </row>
    <row r="6">
      <c r="A6" s="41" t="inlineStr">
        <is>
          <t>C005</t>
        </is>
      </c>
      <c r="B6" s="42" t="inlineStr">
        <is>
          <t>Chaville</t>
        </is>
      </c>
    </row>
    <row r="7">
      <c r="A7" s="29" t="inlineStr">
        <is>
          <t>C006</t>
        </is>
      </c>
      <c r="B7" s="19" t="inlineStr">
        <is>
          <t>Sèvres</t>
        </is>
      </c>
    </row>
    <row r="8">
      <c r="A8" s="41" t="inlineStr">
        <is>
          <t>C007</t>
        </is>
      </c>
      <c r="B8" s="42" t="inlineStr">
        <is>
          <t>Vanves</t>
        </is>
      </c>
    </row>
    <row r="9">
      <c r="A9" s="29" t="inlineStr">
        <is>
          <t>C008</t>
        </is>
      </c>
      <c r="B9" s="19" t="inlineStr">
        <is>
          <t>Ville-d'Avray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</cols>
  <sheetData>
    <row r="1" ht="24" customHeight="1">
      <c r="A1" s="13" t="inlineStr">
        <is>
          <t>id_motif</t>
        </is>
      </c>
      <c r="B1" s="13" t="inlineStr">
        <is>
          <t>libelle_motif</t>
        </is>
      </c>
    </row>
    <row r="2">
      <c r="A2" s="43" t="n">
        <v>1</v>
      </c>
      <c r="B2" s="15" t="inlineStr">
        <is>
          <t>Retard</t>
        </is>
      </c>
    </row>
    <row r="3">
      <c r="A3" s="44" t="n">
        <v>2</v>
      </c>
      <c r="B3" s="19" t="inlineStr">
        <is>
          <t>Information voyageurs</t>
        </is>
      </c>
    </row>
    <row r="4">
      <c r="A4" s="43" t="n">
        <v>3</v>
      </c>
      <c r="B4" s="15" t="inlineStr">
        <is>
          <t>Suppression de service</t>
        </is>
      </c>
    </row>
    <row r="5">
      <c r="A5" s="44" t="n">
        <v>4</v>
      </c>
      <c r="B5" s="19" t="inlineStr">
        <is>
          <t>Comportement conducteur</t>
        </is>
      </c>
    </row>
    <row r="6">
      <c r="A6" s="43" t="n">
        <v>5</v>
      </c>
      <c r="B6" s="15" t="inlineStr">
        <is>
          <t>Confort / Surcharge</t>
        </is>
      </c>
    </row>
    <row r="7">
      <c r="A7" s="44" t="n">
        <v>6</v>
      </c>
      <c r="B7" s="19" t="inlineStr">
        <is>
          <t>Infrastructure / Arrêt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9FE3"/>
    <outlinePr summaryBelow="1" summaryRight="1"/>
    <pageSetUpPr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1" customWidth="1" min="3" max="3"/>
    <col width="10" customWidth="1" min="4" max="4"/>
    <col width="12" customWidth="1" min="5" max="5"/>
    <col width="52" customWidth="1" min="6" max="6"/>
    <col width="15" customWidth="1" min="7" max="7"/>
    <col width="11" customWidth="1" min="8" max="8"/>
    <col width="16" customWidth="1" min="9" max="9"/>
  </cols>
  <sheetData>
    <row r="1" ht="30" customHeight="1">
      <c r="A1" s="45" t="inlineStr">
        <is>
          <t>id_reclamation</t>
        </is>
      </c>
      <c r="B1" s="45" t="inlineStr">
        <is>
          <t>date_reclamation</t>
        </is>
      </c>
      <c r="C1" s="45" t="inlineStr">
        <is>
          <t>id_ligne</t>
        </is>
      </c>
      <c r="D1" s="45" t="inlineStr">
        <is>
          <t>id_motif</t>
        </is>
      </c>
      <c r="E1" s="45" t="inlineStr">
        <is>
          <t>id_commune</t>
        </is>
      </c>
      <c r="F1" s="45" t="inlineStr">
        <is>
          <t>objet_libre</t>
        </is>
      </c>
      <c r="G1" s="45" t="inlineStr">
        <is>
          <t>date_cloture</t>
        </is>
      </c>
      <c r="H1" s="45" t="inlineStr">
        <is>
          <t>cloturee</t>
        </is>
      </c>
      <c r="I1" s="22" t="inlineStr">
        <is>
          <t>delai_traitement</t>
        </is>
      </c>
    </row>
    <row r="2">
      <c r="A2" s="14" t="inlineStr">
        <is>
          <t>R001</t>
        </is>
      </c>
      <c r="B2" s="17" t="n">
        <v>45296</v>
      </c>
      <c r="C2" s="46" t="inlineStr">
        <is>
          <t>L169</t>
        </is>
      </c>
      <c r="D2" s="16" t="n">
        <v>1</v>
      </c>
      <c r="E2" s="47" t="inlineStr">
        <is>
          <t>C003</t>
        </is>
      </c>
      <c r="F2" s="15" t="inlineStr">
        <is>
          <t>Retard de 20 min à l'arrêt Meudon-Val Fleury</t>
        </is>
      </c>
      <c r="G2" s="17" t="n">
        <v>45298</v>
      </c>
      <c r="H2" s="26" t="n">
        <v>1</v>
      </c>
      <c r="I2" s="48">
        <f>IF($H2=1,$G2-$B2,"")</f>
        <v/>
      </c>
    </row>
    <row r="3">
      <c r="A3" s="18" t="inlineStr">
        <is>
          <t>R002</t>
        </is>
      </c>
      <c r="B3" s="21" t="n">
        <v>45300</v>
      </c>
      <c r="C3" s="28" t="inlineStr">
        <is>
          <t>L169</t>
        </is>
      </c>
      <c r="D3" s="20" t="n">
        <v>1</v>
      </c>
      <c r="E3" s="29" t="inlineStr">
        <is>
          <t>C004</t>
        </is>
      </c>
      <c r="F3" s="19" t="inlineStr">
        <is>
          <t>Retard répété tous les matins</t>
        </is>
      </c>
      <c r="G3" s="19" t="n"/>
      <c r="H3" s="49" t="n">
        <v>0</v>
      </c>
      <c r="I3" s="50">
        <f>IF($H3=1,$G3-$B3,"")</f>
        <v/>
      </c>
    </row>
    <row r="4">
      <c r="A4" s="14" t="inlineStr">
        <is>
          <t>R003</t>
        </is>
      </c>
      <c r="B4" s="17" t="n">
        <v>45303</v>
      </c>
      <c r="C4" s="46" t="inlineStr">
        <is>
          <t>L323</t>
        </is>
      </c>
      <c r="D4" s="16" t="n">
        <v>3</v>
      </c>
      <c r="E4" s="47" t="inlineStr">
        <is>
          <t>C003</t>
        </is>
      </c>
      <c r="F4" s="15" t="inlineStr">
        <is>
          <t>Bus supprimé sans annonce préalable</t>
        </is>
      </c>
      <c r="G4" s="15" t="n"/>
      <c r="H4" s="49" t="n">
        <v>0</v>
      </c>
      <c r="I4" s="48">
        <f>IF($H4=1,$G4-$B4,"")</f>
        <v/>
      </c>
    </row>
    <row r="5">
      <c r="A5" s="18" t="inlineStr">
        <is>
          <t>R004</t>
        </is>
      </c>
      <c r="B5" s="21" t="n">
        <v>45309</v>
      </c>
      <c r="C5" s="28" t="inlineStr">
        <is>
          <t>L169</t>
        </is>
      </c>
      <c r="D5" s="20" t="n">
        <v>1</v>
      </c>
      <c r="E5" s="29" t="inlineStr">
        <is>
          <t>C003</t>
        </is>
      </c>
      <c r="F5" s="19" t="inlineStr">
        <is>
          <t>Retard systématique vers 8h</t>
        </is>
      </c>
      <c r="G5" s="19" t="n"/>
      <c r="H5" s="49" t="n">
        <v>0</v>
      </c>
      <c r="I5" s="50">
        <f>IF($H5=1,$G5-$B5,"")</f>
        <v/>
      </c>
    </row>
    <row r="6">
      <c r="A6" s="14" t="inlineStr">
        <is>
          <t>R005</t>
        </is>
      </c>
      <c r="B6" s="17" t="n">
        <v>45313</v>
      </c>
      <c r="C6" s="46" t="inlineStr">
        <is>
          <t>L058</t>
        </is>
      </c>
      <c r="D6" s="16" t="n">
        <v>5</v>
      </c>
      <c r="E6" s="47" t="inlineStr">
        <is>
          <t>C001</t>
        </is>
      </c>
      <c r="F6" s="15" t="inlineStr">
        <is>
          <t>Bus bondé, impossible de monter</t>
        </is>
      </c>
      <c r="G6" s="17" t="n">
        <v>45316</v>
      </c>
      <c r="H6" s="26" t="n">
        <v>1</v>
      </c>
      <c r="I6" s="48">
        <f>IF($H6=1,$G6-$B6,"")</f>
        <v/>
      </c>
    </row>
    <row r="7">
      <c r="A7" s="18" t="inlineStr">
        <is>
          <t>R006</t>
        </is>
      </c>
      <c r="B7" s="21" t="n">
        <v>45323</v>
      </c>
      <c r="C7" s="28" t="inlineStr">
        <is>
          <t>L389</t>
        </is>
      </c>
      <c r="D7" s="20" t="n">
        <v>4</v>
      </c>
      <c r="E7" s="29" t="inlineStr">
        <is>
          <t>C002</t>
        </is>
      </c>
      <c r="F7" s="19" t="inlineStr">
        <is>
          <t>Chauffeur impoli envers une passagère</t>
        </is>
      </c>
      <c r="G7" s="21" t="n">
        <v>45326</v>
      </c>
      <c r="H7" s="26" t="n">
        <v>1</v>
      </c>
      <c r="I7" s="50">
        <f>IF($H7=1,$G7-$B7,"")</f>
        <v/>
      </c>
    </row>
    <row r="8">
      <c r="A8" s="14" t="inlineStr">
        <is>
          <t>R007</t>
        </is>
      </c>
      <c r="B8" s="17" t="n">
        <v>45327</v>
      </c>
      <c r="C8" s="46" t="inlineStr">
        <is>
          <t>L169</t>
        </is>
      </c>
      <c r="D8" s="16" t="n">
        <v>2</v>
      </c>
      <c r="E8" s="47" t="inlineStr">
        <is>
          <t>C008</t>
        </is>
      </c>
      <c r="F8" s="15" t="inlineStr">
        <is>
          <t>Horaires incorrects sur l'application mobile</t>
        </is>
      </c>
      <c r="G8" s="15" t="n"/>
      <c r="H8" s="49" t="n">
        <v>0</v>
      </c>
      <c r="I8" s="48">
        <f>IF($H8=1,$G8-$B8,"")</f>
        <v/>
      </c>
    </row>
    <row r="9">
      <c r="A9" s="18" t="inlineStr">
        <is>
          <t>R008</t>
        </is>
      </c>
      <c r="B9" s="21" t="n">
        <v>45331</v>
      </c>
      <c r="C9" s="28" t="inlineStr">
        <is>
          <t>L323</t>
        </is>
      </c>
      <c r="D9" s="20" t="n">
        <v>1</v>
      </c>
      <c r="E9" s="29" t="inlineStr">
        <is>
          <t>C006</t>
        </is>
      </c>
      <c r="F9" s="19" t="inlineStr">
        <is>
          <t>Retard de 30 min, correspondance ratée</t>
        </is>
      </c>
      <c r="G9" s="21" t="n">
        <v>45333</v>
      </c>
      <c r="H9" s="26" t="n">
        <v>1</v>
      </c>
      <c r="I9" s="50">
        <f>IF($H9=1,$G9-$B9,"")</f>
        <v/>
      </c>
    </row>
    <row r="10">
      <c r="A10" s="14" t="inlineStr">
        <is>
          <t>R009</t>
        </is>
      </c>
      <c r="B10" s="17" t="n">
        <v>45336</v>
      </c>
      <c r="C10" s="46" t="inlineStr">
        <is>
          <t>L169</t>
        </is>
      </c>
      <c r="D10" s="16" t="n">
        <v>1</v>
      </c>
      <c r="E10" s="47" t="inlineStr">
        <is>
          <t>C003</t>
        </is>
      </c>
      <c r="F10" s="15" t="inlineStr">
        <is>
          <t>Retard récurrent en heure de pointe</t>
        </is>
      </c>
      <c r="G10" s="15" t="n"/>
      <c r="H10" s="49" t="n">
        <v>0</v>
      </c>
      <c r="I10" s="48">
        <f>IF($H10=1,$G10-$B10,"")</f>
        <v/>
      </c>
    </row>
    <row r="11">
      <c r="A11" s="18" t="inlineStr">
        <is>
          <t>R010</t>
        </is>
      </c>
      <c r="B11" s="21" t="n">
        <v>45341</v>
      </c>
      <c r="C11" s="28" t="inlineStr">
        <is>
          <t>LN118</t>
        </is>
      </c>
      <c r="D11" s="20" t="n">
        <v>3</v>
      </c>
      <c r="E11" s="29" t="inlineStr">
        <is>
          <t>C005</t>
        </is>
      </c>
      <c r="F11" s="19" t="inlineStr">
        <is>
          <t>Suppression sans information aux voyageurs</t>
        </is>
      </c>
      <c r="G11" s="21" t="n">
        <v>45344</v>
      </c>
      <c r="H11" s="26" t="n">
        <v>1</v>
      </c>
      <c r="I11" s="50">
        <f>IF($H11=1,$G11-$B11,"")</f>
        <v/>
      </c>
    </row>
    <row r="12">
      <c r="A12" s="14" t="inlineStr">
        <is>
          <t>R011</t>
        </is>
      </c>
      <c r="B12" s="17" t="n">
        <v>45347</v>
      </c>
      <c r="C12" s="46" t="inlineStr">
        <is>
          <t>L291</t>
        </is>
      </c>
      <c r="D12" s="16" t="n">
        <v>6</v>
      </c>
      <c r="E12" s="47" t="inlineStr">
        <is>
          <t>C005</t>
        </is>
      </c>
      <c r="F12" s="15" t="inlineStr">
        <is>
          <t>Abribus vandalisé, vitre cassée</t>
        </is>
      </c>
      <c r="G12" s="17" t="n">
        <v>45353</v>
      </c>
      <c r="H12" s="26" t="n">
        <v>1</v>
      </c>
      <c r="I12" s="48">
        <f>IF($H12=1,$G12-$B12,"")</f>
        <v/>
      </c>
    </row>
    <row r="13">
      <c r="A13" s="18" t="inlineStr">
        <is>
          <t>R012</t>
        </is>
      </c>
      <c r="B13" s="21" t="n">
        <v>45352</v>
      </c>
      <c r="C13" s="28" t="inlineStr">
        <is>
          <t>L323</t>
        </is>
      </c>
      <c r="D13" s="20" t="n">
        <v>1</v>
      </c>
      <c r="E13" s="29" t="inlineStr">
        <is>
          <t>C002</t>
        </is>
      </c>
      <c r="F13" s="19" t="inlineStr">
        <is>
          <t>Retard dû à des travaux non signalés</t>
        </is>
      </c>
      <c r="G13" s="19" t="n"/>
      <c r="H13" s="49" t="n">
        <v>0</v>
      </c>
      <c r="I13" s="50">
        <f>IF($H13=1,$G13-$B13,"")</f>
        <v/>
      </c>
    </row>
    <row r="14">
      <c r="A14" s="14" t="inlineStr">
        <is>
          <t>R013</t>
        </is>
      </c>
      <c r="B14" s="17" t="n">
        <v>45356</v>
      </c>
      <c r="C14" s="46" t="inlineStr">
        <is>
          <t>L058</t>
        </is>
      </c>
      <c r="D14" s="16" t="n">
        <v>4</v>
      </c>
      <c r="E14" s="47" t="inlineStr">
        <is>
          <t>C007</t>
        </is>
      </c>
      <c r="F14" s="15" t="inlineStr">
        <is>
          <t>Comportement agressif du conducteur</t>
        </is>
      </c>
      <c r="G14" s="17" t="n">
        <v>45358</v>
      </c>
      <c r="H14" s="26" t="n">
        <v>1</v>
      </c>
      <c r="I14" s="48">
        <f>IF($H14=1,$G14-$B14,"")</f>
        <v/>
      </c>
    </row>
    <row r="15">
      <c r="A15" s="18" t="inlineStr">
        <is>
          <t>R014</t>
        </is>
      </c>
      <c r="B15" s="21" t="n">
        <v>45359</v>
      </c>
      <c r="C15" s="28" t="inlineStr">
        <is>
          <t>L169</t>
        </is>
      </c>
      <c r="D15" s="20" t="n">
        <v>3</v>
      </c>
      <c r="E15" s="29" t="inlineStr">
        <is>
          <t>C003</t>
        </is>
      </c>
      <c r="F15" s="19" t="inlineStr">
        <is>
          <t>Bus supprimé deux fois dans la journée</t>
        </is>
      </c>
      <c r="G15" s="19" t="n"/>
      <c r="H15" s="49" t="n">
        <v>0</v>
      </c>
      <c r="I15" s="50">
        <f>IF($H15=1,$G15-$B15,"")</f>
        <v/>
      </c>
    </row>
    <row r="16">
      <c r="A16" s="14" t="inlineStr">
        <is>
          <t>R015</t>
        </is>
      </c>
      <c r="B16" s="17" t="n">
        <v>45363</v>
      </c>
      <c r="C16" s="46" t="inlineStr">
        <is>
          <t>L289</t>
        </is>
      </c>
      <c r="D16" s="16" t="n">
        <v>5</v>
      </c>
      <c r="E16" s="47" t="inlineStr">
        <is>
          <t>C004</t>
        </is>
      </c>
      <c r="F16" s="15" t="inlineStr">
        <is>
          <t>Surcharge dangereuse en heure de pointe</t>
        </is>
      </c>
      <c r="G16" s="17" t="n">
        <v>45366</v>
      </c>
      <c r="H16" s="26" t="n">
        <v>1</v>
      </c>
      <c r="I16" s="48">
        <f>IF($H16=1,$G16-$B16,"")</f>
        <v/>
      </c>
    </row>
    <row r="17">
      <c r="A17" s="18" t="inlineStr">
        <is>
          <t>R016</t>
        </is>
      </c>
      <c r="B17" s="21" t="n">
        <v>45366</v>
      </c>
      <c r="C17" s="28" t="inlineStr">
        <is>
          <t>L389</t>
        </is>
      </c>
      <c r="D17" s="20" t="n">
        <v>1</v>
      </c>
      <c r="E17" s="29" t="inlineStr">
        <is>
          <t>C001</t>
        </is>
      </c>
      <c r="F17" s="19" t="inlineStr">
        <is>
          <t>Retard de 25 min sans information</t>
        </is>
      </c>
      <c r="G17" s="21" t="n">
        <v>45368</v>
      </c>
      <c r="H17" s="26" t="n">
        <v>1</v>
      </c>
      <c r="I17" s="50">
        <f>IF($H17=1,$G17-$B17,"")</f>
        <v/>
      </c>
    </row>
    <row r="18">
      <c r="A18" s="14" t="inlineStr">
        <is>
          <t>R017</t>
        </is>
      </c>
      <c r="B18" s="17" t="n">
        <v>45370</v>
      </c>
      <c r="C18" s="46" t="inlineStr">
        <is>
          <t>LN118</t>
        </is>
      </c>
      <c r="D18" s="16" t="n">
        <v>6</v>
      </c>
      <c r="E18" s="47" t="inlineStr">
        <is>
          <t>C003</t>
        </is>
      </c>
      <c r="F18" s="15" t="inlineStr">
        <is>
          <t>Arrêt non accessible aux personnes à mobilité réduite</t>
        </is>
      </c>
      <c r="G18" s="15" t="n"/>
      <c r="H18" s="49" t="n">
        <v>0</v>
      </c>
      <c r="I18" s="48">
        <f>IF($H18=1,$G18-$B18,"")</f>
        <v/>
      </c>
    </row>
    <row r="19">
      <c r="A19" s="18" t="inlineStr">
        <is>
          <t>R018</t>
        </is>
      </c>
      <c r="B19" s="21" t="n">
        <v>45373</v>
      </c>
      <c r="C19" s="28" t="inlineStr">
        <is>
          <t>L323</t>
        </is>
      </c>
      <c r="D19" s="20" t="n">
        <v>2</v>
      </c>
      <c r="E19" s="29" t="inlineStr">
        <is>
          <t>C006</t>
        </is>
      </c>
      <c r="F19" s="19" t="inlineStr">
        <is>
          <t>Panneau d'affichage en panne</t>
        </is>
      </c>
      <c r="G19" s="21" t="n">
        <v>45376</v>
      </c>
      <c r="H19" s="26" t="n">
        <v>1</v>
      </c>
      <c r="I19" s="50">
        <f>IF($H19=1,$G19-$B19,"")</f>
        <v/>
      </c>
    </row>
    <row r="20">
      <c r="A20" s="14" t="inlineStr">
        <is>
          <t>R019</t>
        </is>
      </c>
      <c r="B20" s="17" t="n">
        <v>45377</v>
      </c>
      <c r="C20" s="46" t="inlineStr">
        <is>
          <t>L169</t>
        </is>
      </c>
      <c r="D20" s="16" t="n">
        <v>1</v>
      </c>
      <c r="E20" s="47" t="inlineStr">
        <is>
          <t>C003</t>
        </is>
      </c>
      <c r="F20" s="15" t="inlineStr">
        <is>
          <t>Retard matinal systématique</t>
        </is>
      </c>
      <c r="G20" s="15" t="n"/>
      <c r="H20" s="49" t="n">
        <v>0</v>
      </c>
      <c r="I20" s="48">
        <f>IF($H20=1,$G20-$B20,"")</f>
        <v/>
      </c>
    </row>
    <row r="21">
      <c r="A21" s="18" t="inlineStr">
        <is>
          <t>R020</t>
        </is>
      </c>
      <c r="B21" s="21" t="n">
        <v>45384</v>
      </c>
      <c r="C21" s="28" t="inlineStr">
        <is>
          <t>L290</t>
        </is>
      </c>
      <c r="D21" s="20" t="n">
        <v>1</v>
      </c>
      <c r="E21" s="29" t="inlineStr">
        <is>
          <t>C004</t>
        </is>
      </c>
      <c r="F21" s="19" t="inlineStr">
        <is>
          <t>Bus non passé à l'heure prévue</t>
        </is>
      </c>
      <c r="G21" s="21" t="n">
        <v>45386</v>
      </c>
      <c r="H21" s="26" t="n">
        <v>1</v>
      </c>
      <c r="I21" s="50">
        <f>IF($H21=1,$G21-$B21,"")</f>
        <v/>
      </c>
    </row>
    <row r="22">
      <c r="A22" s="14" t="inlineStr">
        <is>
          <t>R021</t>
        </is>
      </c>
      <c r="B22" s="17" t="n">
        <v>45387</v>
      </c>
      <c r="C22" s="46" t="inlineStr">
        <is>
          <t>L291</t>
        </is>
      </c>
      <c r="D22" s="16" t="n">
        <v>5</v>
      </c>
      <c r="E22" s="47" t="inlineStr">
        <is>
          <t>C006</t>
        </is>
      </c>
      <c r="F22" s="15" t="inlineStr">
        <is>
          <t>Surcharge en cabine, sécurité compromise</t>
        </is>
      </c>
      <c r="G22" s="15" t="n"/>
      <c r="H22" s="49" t="n">
        <v>0</v>
      </c>
      <c r="I22" s="48">
        <f>IF($H22=1,$G22-$B22,"")</f>
        <v/>
      </c>
    </row>
    <row r="23">
      <c r="A23" s="18" t="inlineStr">
        <is>
          <t>R022</t>
        </is>
      </c>
      <c r="B23" s="21" t="n">
        <v>45391</v>
      </c>
      <c r="C23" s="28" t="inlineStr">
        <is>
          <t>L289</t>
        </is>
      </c>
      <c r="D23" s="20" t="n">
        <v>4</v>
      </c>
      <c r="E23" s="29" t="inlineStr">
        <is>
          <t>C007</t>
        </is>
      </c>
      <c r="F23" s="19" t="inlineStr">
        <is>
          <t>Échange verbal vif conducteur / passager</t>
        </is>
      </c>
      <c r="G23" s="21" t="n">
        <v>45393</v>
      </c>
      <c r="H23" s="26" t="n">
        <v>1</v>
      </c>
      <c r="I23" s="50">
        <f>IF($H23=1,$G23-$B23,"")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5C11F"/>
    <outlinePr summaryBelow="1" summaryRight="1"/>
    <pageSetUpPr/>
  </sheetPr>
  <dimension ref="B1:J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3" customWidth="1" min="3" max="3"/>
    <col width="14" customWidth="1" min="4" max="4"/>
    <col width="3" customWidth="1" min="5" max="5"/>
    <col width="2" customWidth="1" min="6" max="6"/>
    <col width="2" customWidth="1" min="7" max="7"/>
    <col width="26" customWidth="1" min="8" max="8"/>
    <col width="13" customWidth="1" min="9" max="9"/>
    <col width="3" customWidth="1" min="10" max="10"/>
    <col width="2" customWidth="1" min="11" max="11"/>
    <col width="2" customWidth="1" min="12" max="12"/>
    <col width="2" customWidth="1" min="13" max="13"/>
  </cols>
  <sheetData>
    <row r="1" ht="38" customHeight="1">
      <c r="B1" s="51" t="inlineStr">
        <is>
          <t>TABLEAU DE SUIVI DES RÉCLAMATIONS — 2024</t>
        </is>
      </c>
    </row>
    <row r="2">
      <c r="B2" s="52" t="inlineStr">
        <is>
          <t>Vue OLAP — se recalcule automatiquement à chaque saisie dans [reclamations]</t>
        </is>
      </c>
    </row>
    <row r="4">
      <c r="B4" s="53" t="inlineStr">
        <is>
          <t>TOTAL</t>
        </is>
      </c>
      <c r="C4" s="54" t="inlineStr">
        <is>
          <t>CLÔTURÉES</t>
        </is>
      </c>
      <c r="D4" s="55" t="inlineStr">
        <is>
          <t>NON CLÔTURÉES</t>
        </is>
      </c>
      <c r="H4" s="56" t="inlineStr">
        <is>
          <t>TAUX CLÔTURE</t>
        </is>
      </c>
      <c r="I4" s="57" t="inlineStr">
        <is>
          <t>DÉLAI MOYEN</t>
        </is>
      </c>
    </row>
    <row r="5" ht="40" customHeight="1">
      <c r="B5" s="58">
        <f>COUNTA(reclamations!A:A)-1</f>
        <v/>
      </c>
      <c r="C5" s="59">
        <f>COUNTIF(reclamations!H:H,1)</f>
        <v/>
      </c>
      <c r="D5" s="60">
        <f>COUNTIF(reclamations!H:H,0)</f>
        <v/>
      </c>
      <c r="H5" s="61">
        <f>C5/B5</f>
        <v/>
      </c>
      <c r="I5" s="62">
        <f>ROUND(AVERAGE(reclamations!I:I),1)</f>
        <v/>
      </c>
    </row>
    <row r="7">
      <c r="B7" s="63" t="inlineStr">
        <is>
          <t>LES 3 GRANDES QUESTIONS</t>
        </is>
      </c>
    </row>
    <row r="8" ht="28" customHeight="1">
      <c r="B8" s="64" t="inlineStr">
        <is>
          <t>🔴 Prestataire le plus problématique</t>
        </is>
      </c>
      <c r="C8" s="65" t="n"/>
      <c r="D8" s="65" t="n"/>
      <c r="E8" s="66" t="inlineStr">
        <is>
          <t>🟣 Commune la plus impactée</t>
        </is>
      </c>
      <c r="F8" s="67" t="n"/>
      <c r="G8" s="67" t="n"/>
      <c r="H8" s="68" t="inlineStr">
        <is>
          <t>🟢 Ligne la plus problématique</t>
        </is>
      </c>
      <c r="I8" s="69" t="n"/>
      <c r="J8" s="69" t="n"/>
    </row>
    <row r="9" ht="30" customHeight="1">
      <c r="B9" s="70">
        <f>INDEX($B$15:$B$18,MATCH(MAX($D$15:$D$18),$D$15:$D$18,0))</f>
        <v/>
      </c>
      <c r="C9" s="65" t="n"/>
      <c r="D9" s="65" t="n"/>
      <c r="E9" s="71">
        <f>INDEX($H$15:$H$22,MATCH(MAX($I$15:$I$22),$I$15:$I$22,0))</f>
        <v/>
      </c>
      <c r="F9" s="67" t="n"/>
      <c r="G9" s="67" t="n"/>
      <c r="H9" s="72">
        <f>INDEX($B$22:$B$29,MATCH(MAX($D$22:$D$29),$D$22:$D$29,0))</f>
        <v/>
      </c>
      <c r="I9" s="69" t="n"/>
      <c r="J9" s="69" t="n"/>
    </row>
    <row r="10">
      <c r="B10" s="73">
        <f>TEXT(MAX($D$15:$D$18),"0")&amp;"  réclamations non clôturées"</f>
        <v/>
      </c>
      <c r="C10" s="65" t="n"/>
      <c r="D10" s="65" t="n"/>
      <c r="E10" s="74">
        <f>TEXT(MAX($I$15:$I$22),"0")&amp;"  réclamations au total"</f>
        <v/>
      </c>
      <c r="F10" s="67" t="n"/>
      <c r="G10" s="67" t="n"/>
      <c r="H10" s="75">
        <f>TEXT(MAX($D$22:$D$29),"0")&amp;"  réclamations au total"</f>
        <v/>
      </c>
      <c r="I10" s="69" t="n"/>
      <c r="J10" s="69" t="n"/>
    </row>
    <row r="13">
      <c r="B13" s="76" t="inlineStr">
        <is>
          <t>PAR PRESTATAIRE  (réclamations via jointure lignes_bus)</t>
        </is>
      </c>
      <c r="H13" s="77" t="inlineStr">
        <is>
          <t>PAR COMMUNE  (COUNTIF sur la FK id_commune)</t>
        </is>
      </c>
    </row>
    <row r="14">
      <c r="B14" s="78" t="inlineStr">
        <is>
          <t>Prestataire</t>
        </is>
      </c>
      <c r="C14" s="78" t="inlineStr">
        <is>
          <t>Total</t>
        </is>
      </c>
      <c r="D14" s="78" t="inlineStr">
        <is>
          <t>Non clôt.</t>
        </is>
      </c>
      <c r="H14" s="40" t="inlineStr">
        <is>
          <t>Commune</t>
        </is>
      </c>
      <c r="I14" s="40" t="inlineStr">
        <is>
          <t>Total</t>
        </is>
      </c>
    </row>
    <row r="15">
      <c r="B15" s="19" t="inlineStr">
        <is>
          <t>Keolis Île-de-France</t>
        </is>
      </c>
      <c r="C15" s="79">
        <f>SUMIF(lignes_bus!$C:$C,"P001",lignes_bus!$F:$F)</f>
        <v/>
      </c>
      <c r="D15" s="31">
        <f>SUMIF(lignes_bus!$C:$C,"P001",lignes_bus!$G:$G)</f>
        <v/>
      </c>
      <c r="H15" s="19" t="inlineStr">
        <is>
          <t>Boulogne-Billancourt</t>
        </is>
      </c>
      <c r="I15" s="80">
        <f>COUNTIF(reclamations!$E:$E,"C001")</f>
        <v/>
      </c>
    </row>
    <row r="16">
      <c r="B16" s="81" t="inlineStr">
        <is>
          <t>RATP Dev</t>
        </is>
      </c>
      <c r="C16" s="82">
        <f>SUMIF(lignes_bus!$C:$C,"P002",lignes_bus!$F:$F)</f>
        <v/>
      </c>
      <c r="D16" s="49">
        <f>SUMIF(lignes_bus!$C:$C,"P002",lignes_bus!$G:$G)</f>
        <v/>
      </c>
      <c r="H16" s="42" t="inlineStr">
        <is>
          <t>Issy-les-Moulineaux</t>
        </is>
      </c>
      <c r="I16" s="83">
        <f>COUNTIF(reclamations!$E:$E,"C002")</f>
        <v/>
      </c>
    </row>
    <row r="17">
      <c r="B17" s="19" t="inlineStr">
        <is>
          <t>Transdev Île-de-France</t>
        </is>
      </c>
      <c r="C17" s="79">
        <f>SUMIF(lignes_bus!$C:$C,"P003",lignes_bus!$F:$F)</f>
        <v/>
      </c>
      <c r="D17" s="31">
        <f>SUMIF(lignes_bus!$C:$C,"P003",lignes_bus!$G:$G)</f>
        <v/>
      </c>
      <c r="H17" s="19" t="inlineStr">
        <is>
          <t>Meudon</t>
        </is>
      </c>
      <c r="I17" s="80">
        <f>COUNTIF(reclamations!$E:$E,"C003")</f>
        <v/>
      </c>
    </row>
    <row r="18">
      <c r="B18" s="81" t="inlineStr">
        <is>
          <t>ATM Croix du Sud</t>
        </is>
      </c>
      <c r="C18" s="82">
        <f>SUMIF(lignes_bus!$C:$C,"P004",lignes_bus!$F:$F)</f>
        <v/>
      </c>
      <c r="D18" s="49">
        <f>SUMIF(lignes_bus!$C:$C,"P004",lignes_bus!$G:$G)</f>
        <v/>
      </c>
      <c r="H18" s="42" t="inlineStr">
        <is>
          <t>Clamart</t>
        </is>
      </c>
      <c r="I18" s="83">
        <f>COUNTIF(reclamations!$E:$E,"C004")</f>
        <v/>
      </c>
    </row>
    <row r="19">
      <c r="H19" s="19" t="inlineStr">
        <is>
          <t>Chaville</t>
        </is>
      </c>
      <c r="I19" s="80">
        <f>COUNTIF(reclamations!$E:$E,"C005")</f>
        <v/>
      </c>
    </row>
    <row r="20">
      <c r="B20" s="84" t="inlineStr">
        <is>
          <t>PAR LIGNE  (COUNTIF direct sur la FK id_ligne)</t>
        </is>
      </c>
      <c r="H20" s="42" t="inlineStr">
        <is>
          <t>Sèvres</t>
        </is>
      </c>
      <c r="I20" s="83">
        <f>COUNTIF(reclamations!$E:$E,"C006")</f>
        <v/>
      </c>
    </row>
    <row r="21">
      <c r="B21" s="85" t="inlineStr">
        <is>
          <t>Ligne</t>
        </is>
      </c>
      <c r="C21" s="85" t="inlineStr">
        <is>
          <t>Prestataire</t>
        </is>
      </c>
      <c r="D21" s="85" t="inlineStr">
        <is>
          <t>Total</t>
        </is>
      </c>
      <c r="E21" s="85" t="inlineStr">
        <is>
          <t>Non clôt.</t>
        </is>
      </c>
      <c r="H21" s="19" t="inlineStr">
        <is>
          <t>Vanves</t>
        </is>
      </c>
      <c r="I21" s="80">
        <f>COUNTIF(reclamations!$E:$E,"C007")</f>
        <v/>
      </c>
    </row>
    <row r="22">
      <c r="B22" s="23" t="inlineStr">
        <is>
          <t>L169</t>
        </is>
      </c>
      <c r="C22" s="86">
        <f>INDEX(prestataires!$B:$B,MATCH(INDEX(lignes_bus!$C:$C,MATCH($B22,lignes_bus!$A:$A,0)),prestataires!$A:$A,0))</f>
        <v/>
      </c>
      <c r="D22" s="87">
        <f>COUNTIF(reclamations!$C:$C,$B22)</f>
        <v/>
      </c>
      <c r="E22" s="88">
        <f>COUNTIFS(reclamations!$C:$C,$B22,reclamations!$H:$H,0)</f>
        <v/>
      </c>
      <c r="H22" s="42" t="inlineStr">
        <is>
          <t>Ville-d'Avray</t>
        </is>
      </c>
      <c r="I22" s="83">
        <f>COUNTIF(reclamations!$E:$E,"C008")</f>
        <v/>
      </c>
    </row>
    <row r="23">
      <c r="B23" s="28" t="inlineStr">
        <is>
          <t>L323</t>
        </is>
      </c>
      <c r="C23" s="89">
        <f>INDEX(prestataires!$B:$B,MATCH(INDEX(lignes_bus!$C:$C,MATCH($B23,lignes_bus!$A:$A,0)),prestataires!$A:$A,0))</f>
        <v/>
      </c>
      <c r="D23" s="79">
        <f>COUNTIF(reclamations!$C:$C,$B23)</f>
        <v/>
      </c>
      <c r="E23" s="31">
        <f>COUNTIFS(reclamations!$C:$C,$B23,reclamations!$H:$H,0)</f>
        <v/>
      </c>
      <c r="H23" s="9" t="inlineStr">
        <is>
          <t>PAR MOTIF  (COUNTIF sur la FK id_motif)</t>
        </is>
      </c>
    </row>
    <row r="24">
      <c r="B24" s="23" t="inlineStr">
        <is>
          <t>L389</t>
        </is>
      </c>
      <c r="C24" s="86">
        <f>INDEX(prestataires!$B:$B,MATCH(INDEX(lignes_bus!$C:$C,MATCH($B24,lignes_bus!$A:$A,0)),prestataires!$A:$A,0))</f>
        <v/>
      </c>
      <c r="D24" s="87">
        <f>COUNTIF(reclamations!$C:$C,$B24)</f>
        <v/>
      </c>
      <c r="E24" s="88">
        <f>COUNTIFS(reclamations!$C:$C,$B24,reclamations!$H:$H,0)</f>
        <v/>
      </c>
      <c r="H24" s="13" t="inlineStr">
        <is>
          <t>Motif</t>
        </is>
      </c>
      <c r="I24" s="13" t="inlineStr">
        <is>
          <t>Total</t>
        </is>
      </c>
    </row>
    <row r="25">
      <c r="B25" s="28" t="inlineStr">
        <is>
          <t>L290</t>
        </is>
      </c>
      <c r="C25" s="89">
        <f>INDEX(prestataires!$B:$B,MATCH(INDEX(lignes_bus!$C:$C,MATCH($B25,lignes_bus!$A:$A,0)),prestataires!$A:$A,0))</f>
        <v/>
      </c>
      <c r="D25" s="79">
        <f>COUNTIF(reclamations!$C:$C,$B25)</f>
        <v/>
      </c>
      <c r="E25" s="31">
        <f>COUNTIFS(reclamations!$C:$C,$B25,reclamations!$H:$H,0)</f>
        <v/>
      </c>
      <c r="H25" s="19" t="inlineStr">
        <is>
          <t>Retard</t>
        </is>
      </c>
      <c r="I25" s="79">
        <f>COUNTIF(reclamations!$D:$D,1)</f>
        <v/>
      </c>
    </row>
    <row r="26">
      <c r="B26" s="23" t="inlineStr">
        <is>
          <t>L058</t>
        </is>
      </c>
      <c r="C26" s="86">
        <f>INDEX(prestataires!$B:$B,MATCH(INDEX(lignes_bus!$C:$C,MATCH($B26,lignes_bus!$A:$A,0)),prestataires!$A:$A,0))</f>
        <v/>
      </c>
      <c r="D26" s="87">
        <f>COUNTIF(reclamations!$C:$C,$B26)</f>
        <v/>
      </c>
      <c r="E26" s="88">
        <f>COUNTIFS(reclamations!$C:$C,$B26,reclamations!$H:$H,0)</f>
        <v/>
      </c>
      <c r="H26" s="15" t="inlineStr">
        <is>
          <t>Information voyageurs</t>
        </is>
      </c>
      <c r="I26" s="90">
        <f>COUNTIF(reclamations!$D:$D,2)</f>
        <v/>
      </c>
    </row>
    <row r="27">
      <c r="B27" s="28" t="inlineStr">
        <is>
          <t>LN118</t>
        </is>
      </c>
      <c r="C27" s="89">
        <f>INDEX(prestataires!$B:$B,MATCH(INDEX(lignes_bus!$C:$C,MATCH($B27,lignes_bus!$A:$A,0)),prestataires!$A:$A,0))</f>
        <v/>
      </c>
      <c r="D27" s="79">
        <f>COUNTIF(reclamations!$C:$C,$B27)</f>
        <v/>
      </c>
      <c r="E27" s="31">
        <f>COUNTIFS(reclamations!$C:$C,$B27,reclamations!$H:$H,0)</f>
        <v/>
      </c>
      <c r="H27" s="19" t="inlineStr">
        <is>
          <t>Suppression de service</t>
        </is>
      </c>
      <c r="I27" s="79">
        <f>COUNTIF(reclamations!$D:$D,3)</f>
        <v/>
      </c>
    </row>
    <row r="28">
      <c r="B28" s="23" t="inlineStr">
        <is>
          <t>L291</t>
        </is>
      </c>
      <c r="C28" s="86">
        <f>INDEX(prestataires!$B:$B,MATCH(INDEX(lignes_bus!$C:$C,MATCH($B28,lignes_bus!$A:$A,0)),prestataires!$A:$A,0))</f>
        <v/>
      </c>
      <c r="D28" s="87">
        <f>COUNTIF(reclamations!$C:$C,$B28)</f>
        <v/>
      </c>
      <c r="E28" s="88">
        <f>COUNTIFS(reclamations!$C:$C,$B28,reclamations!$H:$H,0)</f>
        <v/>
      </c>
      <c r="H28" s="15" t="inlineStr">
        <is>
          <t>Comportement conducteur</t>
        </is>
      </c>
      <c r="I28" s="90">
        <f>COUNTIF(reclamations!$D:$D,4)</f>
        <v/>
      </c>
    </row>
    <row r="29">
      <c r="B29" s="28" t="inlineStr">
        <is>
          <t>L289</t>
        </is>
      </c>
      <c r="C29" s="89">
        <f>INDEX(prestataires!$B:$B,MATCH(INDEX(lignes_bus!$C:$C,MATCH($B29,lignes_bus!$A:$A,0)),prestataires!$A:$A,0))</f>
        <v/>
      </c>
      <c r="D29" s="79">
        <f>COUNTIF(reclamations!$C:$C,$B29)</f>
        <v/>
      </c>
      <c r="E29" s="31">
        <f>COUNTIFS(reclamations!$C:$C,$B29,reclamations!$H:$H,0)</f>
        <v/>
      </c>
      <c r="H29" s="19" t="inlineStr">
        <is>
          <t>Confort / Surcharge</t>
        </is>
      </c>
      <c r="I29" s="79">
        <f>COUNTIF(reclamations!$D:$D,5)</f>
        <v/>
      </c>
    </row>
    <row r="30">
      <c r="B30" s="91" t="inlineStr">
        <is>
          <t>PAR MOIS  (COUNTIFS sur une plage de dates)</t>
        </is>
      </c>
      <c r="H30" s="15" t="inlineStr">
        <is>
          <t>Infrastructure / Arrêt</t>
        </is>
      </c>
      <c r="I30" s="90">
        <f>COUNTIF(reclamations!$D:$D,6)</f>
        <v/>
      </c>
    </row>
    <row r="31">
      <c r="B31" s="45" t="inlineStr">
        <is>
          <t>Mois</t>
        </is>
      </c>
      <c r="C31" s="45" t="inlineStr">
        <is>
          <t>Total</t>
        </is>
      </c>
    </row>
    <row r="32">
      <c r="B32" s="15" t="inlineStr">
        <is>
          <t>Janvier 2024</t>
        </is>
      </c>
      <c r="C32" s="92">
        <f>COUNTIFS(reclamations!$B:$B,"&gt;="&amp;DATE(2024,1,1),reclamations!$B:$B,"&lt;"&amp;DATE(2024,2,1))</f>
        <v/>
      </c>
    </row>
    <row r="33">
      <c r="B33" s="19" t="inlineStr">
        <is>
          <t>Février 2024</t>
        </is>
      </c>
      <c r="C33" s="93">
        <f>COUNTIFS(reclamations!$B:$B,"&gt;="&amp;DATE(2024,2,1),reclamations!$B:$B,"&lt;"&amp;DATE(2024,3,1))</f>
        <v/>
      </c>
    </row>
    <row r="34">
      <c r="B34" s="15" t="inlineStr">
        <is>
          <t>Mars 2024</t>
        </is>
      </c>
      <c r="C34" s="92">
        <f>COUNTIFS(reclamations!$B:$B,"&gt;="&amp;DATE(2024,3,1),reclamations!$B:$B,"&lt;"&amp;DATE(2024,4,1))</f>
        <v/>
      </c>
    </row>
    <row r="35">
      <c r="B35" s="19" t="inlineStr">
        <is>
          <t>Avril 2024</t>
        </is>
      </c>
      <c r="C35" s="93">
        <f>COUNTIFS(reclamations!$B:$B,"&gt;="&amp;DATE(2024,4,1),reclamations!$B:$B,"&lt;"&amp;DATE(2024,5,1))</f>
        <v/>
      </c>
    </row>
    <row r="37" ht="30" customHeight="1">
      <c r="B37" s="94" t="inlineStr">
        <is>
          <t>💡 Aucune formule ci-dessus ne change quand on ajoute une réclamation : on saisit 1 ligne dans [reclamations], tout se recalcule. C'est la bascule OLTP → OLAP.</t>
        </is>
      </c>
    </row>
  </sheetData>
  <mergeCells count="12">
    <mergeCell ref="B10:D10"/>
    <mergeCell ref="E10:G10"/>
    <mergeCell ref="H10:J10"/>
    <mergeCell ref="B8:D8"/>
    <mergeCell ref="B2:I2"/>
    <mergeCell ref="E8:G8"/>
    <mergeCell ref="H8:J8"/>
    <mergeCell ref="B9:D9"/>
    <mergeCell ref="E9:G9"/>
    <mergeCell ref="B37:I37"/>
    <mergeCell ref="H9:J9"/>
    <mergeCell ref="B1:I1"/>
  </mergeCells>
  <conditionalFormatting sqref="D15:D18">
    <cfRule type="dataBar" priority="1">
      <dataBar>
        <cfvo type="min"/>
        <cfvo type="max"/>
        <color rgb="00F8B4B4"/>
      </dataBar>
    </cfRule>
  </conditionalFormatting>
  <conditionalFormatting sqref="D22:D29">
    <cfRule type="dataBar" priority="2">
      <dataBar>
        <cfvo type="min"/>
        <cfvo type="max"/>
        <color rgb="00A7E8B8"/>
      </dataBar>
    </cfRule>
  </conditionalFormatting>
  <conditionalFormatting sqref="I15:I22">
    <cfRule type="dataBar" priority="3">
      <dataBar>
        <cfvo type="min"/>
        <cfvo type="max"/>
        <color rgb="00D6BBFB"/>
      </dataBar>
    </cfRule>
  </conditionalFormatting>
  <conditionalFormatting sqref="I25:I30">
    <cfRule type="dataBar" priority="4">
      <dataBar>
        <cfvo type="min"/>
        <cfvo type="max"/>
        <color rgb="00BBD3FB"/>
      </dataBar>
    </cfRule>
  </conditionalFormatting>
  <conditionalFormatting sqref="B22:E29">
    <cfRule type="expression" priority="5" dxfId="0">
      <formula>$D22=MAX($D$22:$D$29)</formula>
    </cfRule>
  </conditionalFormatting>
  <conditionalFormatting sqref="H15:I22">
    <cfRule type="expression" priority="6" dxfId="0">
      <formula>$I15=MAX($I$15:$I$22)</formula>
    </cfRule>
  </conditionalFormatting>
  <conditionalFormatting sqref="B15:D18">
    <cfRule type="expression" priority="7" dxfId="0">
      <formula>$D15=MAX($D$15:$D$18)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2026-06-01T09:49:27Z</dcterms:created>
  <dcterms:modified xmlns:dcterms="http://purl.org/dc/terms/" xmlns:xsi="http://www.w3.org/2001/XMLSchema-instance" xsi:type="dcterms:W3CDTF">2026-06-01T09:49:27Z</dcterms:modified>
</cp:coreProperties>
</file>