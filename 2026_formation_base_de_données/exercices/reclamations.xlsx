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DADD\PIDD_DIGIT\01-Manuels et formations\2026_formation_base_de_données\exercices\"/>
    </mc:Choice>
  </mc:AlternateContent>
  <xr:revisionPtr revIDLastSave="0" documentId="13_ncr:1_{CE8F2E13-9A61-4469-BCBF-874290C571E3}" xr6:coauthVersionLast="47" xr6:coauthVersionMax="47" xr10:uidLastSave="{00000000-0000-0000-0000-000000000000}"/>
  <bookViews>
    <workbookView xWindow="-28920" yWindow="840" windowWidth="29040" windowHeight="15720" activeTab="2" xr2:uid="{00000000-000D-0000-FFFF-FFFF00000000}"/>
  </bookViews>
  <sheets>
    <sheet name="reclamations" sheetId="1" r:id="rId1"/>
    <sheet name="listes" sheetId="2" r:id="rId2"/>
    <sheet name="Tableau de suivi" sheetId="5" r:id="rId3"/>
  </sheets>
  <externalReferences>
    <externalReference r:id="rId4"/>
    <externalReference r:id="rId5"/>
  </externalReferences>
  <definedNames>
    <definedName name="L_CANAL">listes!$A$2:$A$7</definedName>
    <definedName name="L_MOTIF">listes!$B$2:$B$7</definedName>
    <definedName name="L_NUM">OFFSET(listes!$C$2,0,0,COUNTIF(listes!$C$2:$C$41,"?*"),1)</definedName>
  </definedNames>
  <calcPr calcId="191029" iterateDelta="1E-4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" i="5" l="1"/>
  <c r="A10" i="5"/>
  <c r="J14" i="1"/>
  <c r="J2" i="1"/>
  <c r="E10" i="5"/>
  <c r="E11" i="5"/>
  <c r="C11" i="5"/>
  <c r="C10" i="5"/>
  <c r="E5" i="5"/>
  <c r="A5" i="5"/>
  <c r="N9" i="5"/>
  <c r="N8" i="5"/>
  <c r="N7" i="5"/>
  <c r="N6" i="5"/>
  <c r="N5" i="5"/>
  <c r="C5" i="5"/>
  <c r="N4" i="5"/>
  <c r="N3" i="5"/>
  <c r="N2" i="5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27" i="1"/>
  <c r="O27" i="1"/>
  <c r="L27" i="1"/>
  <c r="M27" i="1" s="1"/>
  <c r="N27" i="1" s="1"/>
  <c r="K27" i="1"/>
  <c r="J27" i="1"/>
  <c r="P26" i="1"/>
  <c r="O26" i="1"/>
  <c r="L26" i="1"/>
  <c r="M26" i="1" s="1"/>
  <c r="N26" i="1" s="1"/>
  <c r="K26" i="1"/>
  <c r="J26" i="1"/>
  <c r="P25" i="1"/>
  <c r="O25" i="1"/>
  <c r="L25" i="1"/>
  <c r="M25" i="1" s="1"/>
  <c r="N25" i="1" s="1"/>
  <c r="K25" i="1"/>
  <c r="J25" i="1"/>
  <c r="P24" i="1"/>
  <c r="O24" i="1"/>
  <c r="L24" i="1"/>
  <c r="M24" i="1" s="1"/>
  <c r="N24" i="1" s="1"/>
  <c r="K24" i="1"/>
  <c r="J24" i="1"/>
  <c r="P23" i="1"/>
  <c r="O23" i="1"/>
  <c r="L23" i="1"/>
  <c r="M23" i="1" s="1"/>
  <c r="N23" i="1" s="1"/>
  <c r="K23" i="1"/>
  <c r="J23" i="1"/>
  <c r="P22" i="1"/>
  <c r="O22" i="1"/>
  <c r="L22" i="1"/>
  <c r="M22" i="1" s="1"/>
  <c r="N22" i="1" s="1"/>
  <c r="K22" i="1"/>
  <c r="J22" i="1"/>
  <c r="P21" i="1"/>
  <c r="O21" i="1"/>
  <c r="L21" i="1"/>
  <c r="M21" i="1" s="1"/>
  <c r="N21" i="1" s="1"/>
  <c r="K21" i="1"/>
  <c r="J21" i="1"/>
  <c r="P20" i="1"/>
  <c r="O20" i="1"/>
  <c r="L20" i="1"/>
  <c r="M20" i="1" s="1"/>
  <c r="N20" i="1" s="1"/>
  <c r="K20" i="1"/>
  <c r="J20" i="1"/>
  <c r="P19" i="1"/>
  <c r="O19" i="1"/>
  <c r="L19" i="1"/>
  <c r="M19" i="1" s="1"/>
  <c r="N19" i="1" s="1"/>
  <c r="K19" i="1"/>
  <c r="J19" i="1"/>
  <c r="P18" i="1"/>
  <c r="O18" i="1"/>
  <c r="L18" i="1"/>
  <c r="M18" i="1" s="1"/>
  <c r="N18" i="1" s="1"/>
  <c r="K18" i="1"/>
  <c r="J18" i="1"/>
  <c r="P17" i="1"/>
  <c r="O17" i="1"/>
  <c r="L17" i="1"/>
  <c r="M17" i="1" s="1"/>
  <c r="N17" i="1" s="1"/>
  <c r="K17" i="1"/>
  <c r="J17" i="1"/>
  <c r="P16" i="1"/>
  <c r="O16" i="1"/>
  <c r="L16" i="1"/>
  <c r="M16" i="1" s="1"/>
  <c r="N16" i="1" s="1"/>
  <c r="K16" i="1"/>
  <c r="J16" i="1"/>
  <c r="P15" i="1"/>
  <c r="O15" i="1"/>
  <c r="L15" i="1"/>
  <c r="M15" i="1" s="1"/>
  <c r="N15" i="1" s="1"/>
  <c r="K15" i="1"/>
  <c r="J15" i="1"/>
  <c r="P14" i="1"/>
  <c r="O14" i="1"/>
  <c r="L14" i="1"/>
  <c r="M14" i="1" s="1"/>
  <c r="N14" i="1" s="1"/>
  <c r="K14" i="1"/>
  <c r="P13" i="1"/>
  <c r="O13" i="1"/>
  <c r="L13" i="1"/>
  <c r="M13" i="1" s="1"/>
  <c r="N13" i="1" s="1"/>
  <c r="K13" i="1"/>
  <c r="J13" i="1"/>
  <c r="P12" i="1"/>
  <c r="O12" i="1"/>
  <c r="L12" i="1"/>
  <c r="M12" i="1" s="1"/>
  <c r="N12" i="1" s="1"/>
  <c r="K12" i="1"/>
  <c r="J12" i="1"/>
  <c r="P11" i="1"/>
  <c r="O11" i="1"/>
  <c r="L11" i="1"/>
  <c r="M11" i="1" s="1"/>
  <c r="N11" i="1" s="1"/>
  <c r="K11" i="1"/>
  <c r="J11" i="1"/>
  <c r="P10" i="1"/>
  <c r="O10" i="1"/>
  <c r="L10" i="1"/>
  <c r="M10" i="1" s="1"/>
  <c r="N10" i="1" s="1"/>
  <c r="K10" i="1"/>
  <c r="J10" i="1"/>
  <c r="P9" i="1"/>
  <c r="O9" i="1"/>
  <c r="L9" i="1"/>
  <c r="M9" i="1" s="1"/>
  <c r="N9" i="1" s="1"/>
  <c r="K9" i="1"/>
  <c r="J9" i="1"/>
  <c r="P8" i="1"/>
  <c r="O8" i="1"/>
  <c r="L8" i="1"/>
  <c r="M8" i="1" s="1"/>
  <c r="N8" i="1" s="1"/>
  <c r="K8" i="1"/>
  <c r="J8" i="1"/>
  <c r="P7" i="1"/>
  <c r="O7" i="1"/>
  <c r="L7" i="1"/>
  <c r="M7" i="1" s="1"/>
  <c r="N7" i="1" s="1"/>
  <c r="K7" i="1"/>
  <c r="J7" i="1"/>
  <c r="P6" i="1"/>
  <c r="O6" i="1"/>
  <c r="L6" i="1"/>
  <c r="M6" i="1" s="1"/>
  <c r="N6" i="1" s="1"/>
  <c r="K6" i="1"/>
  <c r="J6" i="1"/>
  <c r="P5" i="1"/>
  <c r="O5" i="1"/>
  <c r="L5" i="1"/>
  <c r="M5" i="1" s="1"/>
  <c r="N5" i="1" s="1"/>
  <c r="K5" i="1"/>
  <c r="J5" i="1"/>
  <c r="P4" i="1"/>
  <c r="O4" i="1"/>
  <c r="L4" i="1"/>
  <c r="M4" i="1" s="1"/>
  <c r="N4" i="1" s="1"/>
  <c r="K4" i="1"/>
  <c r="J4" i="1"/>
  <c r="P3" i="1"/>
  <c r="O3" i="1"/>
  <c r="L3" i="1"/>
  <c r="M3" i="1" s="1"/>
  <c r="N3" i="1" s="1"/>
  <c r="K3" i="1"/>
  <c r="J3" i="1"/>
  <c r="P2" i="1"/>
  <c r="O2" i="1"/>
  <c r="L2" i="1"/>
  <c r="M2" i="1" s="1"/>
  <c r="N2" i="1" s="1"/>
  <c r="K2" i="1"/>
</calcChain>
</file>

<file path=xl/sharedStrings.xml><?xml version="1.0" encoding="utf-8"?>
<sst xmlns="http://schemas.openxmlformats.org/spreadsheetml/2006/main" count="240" uniqueCount="121">
  <si>
    <t>id_reclamation</t>
  </si>
  <si>
    <t>date_reception</t>
  </si>
  <si>
    <t>canal</t>
  </si>
  <si>
    <t>numero_ligne</t>
  </si>
  <si>
    <t>commune</t>
  </si>
  <si>
    <t>motif</t>
  </si>
  <si>
    <t>objet</t>
  </si>
  <si>
    <t>cloturee</t>
  </si>
  <si>
    <t>date_cloture</t>
  </si>
  <si>
    <t>prestataire</t>
  </si>
  <si>
    <t>type_marche</t>
  </si>
  <si>
    <t>date_fin_contrat</t>
  </si>
  <si>
    <t>ecart_fin_contrat_j</t>
  </si>
  <si>
    <t>alerte_fin_contrat</t>
  </si>
  <si>
    <t>annee</t>
  </si>
  <si>
    <t>trimestre</t>
  </si>
  <si>
    <t>R001</t>
  </si>
  <si>
    <t>Téléphone</t>
  </si>
  <si>
    <t>169</t>
  </si>
  <si>
    <t>Meudon</t>
  </si>
  <si>
    <t>Retard</t>
  </si>
  <si>
    <t>Retard de 20 min annoncé tardivement</t>
  </si>
  <si>
    <t>R002</t>
  </si>
  <si>
    <t>Email</t>
  </si>
  <si>
    <t>Retards répétés le matin sur le 169</t>
  </si>
  <si>
    <t>R003</t>
  </si>
  <si>
    <t>Formulaire web</t>
  </si>
  <si>
    <t>323</t>
  </si>
  <si>
    <t>Suppression de service</t>
  </si>
  <si>
    <t>Bus supprimé sans information</t>
  </si>
  <si>
    <t>R004</t>
  </si>
  <si>
    <t>Courrier</t>
  </si>
  <si>
    <t>389</t>
  </si>
  <si>
    <t>Boulogne-Billancourt</t>
  </si>
  <si>
    <t>Information voyageurs</t>
  </si>
  <si>
    <t>Affichage des horaires erroné à l'arrêt</t>
  </si>
  <si>
    <t>R005</t>
  </si>
  <si>
    <t>Guichet</t>
  </si>
  <si>
    <t>Issy-les-Moulineaux</t>
  </si>
  <si>
    <t>Correspondance manquée à cause d'un retard</t>
  </si>
  <si>
    <t>R006</t>
  </si>
  <si>
    <t>Réseaux sociaux</t>
  </si>
  <si>
    <t>290</t>
  </si>
  <si>
    <t>Marne-la-Coquette</t>
  </si>
  <si>
    <t>Confort / Surcharge</t>
  </si>
  <si>
    <t>Bus bondé aux heures de pointe</t>
  </si>
  <si>
    <t>R007</t>
  </si>
  <si>
    <t>Comportement conducteur</t>
  </si>
  <si>
    <t>Conducteur désagréable avec une usagère</t>
  </si>
  <si>
    <t>R008</t>
  </si>
  <si>
    <t>58</t>
  </si>
  <si>
    <t>Vanves</t>
  </si>
  <si>
    <t>Passage sans arrêt malgré l'attente</t>
  </si>
  <si>
    <t>R009</t>
  </si>
  <si>
    <t>Sèvres</t>
  </si>
  <si>
    <t>Service interrompu en soirée</t>
  </si>
  <si>
    <t>R010</t>
  </si>
  <si>
    <t>Retard important sans explication</t>
  </si>
  <si>
    <t>R011</t>
  </si>
  <si>
    <t>N118</t>
  </si>
  <si>
    <t>Surcharge la nuit, voyageurs debout</t>
  </si>
  <si>
    <t>R012</t>
  </si>
  <si>
    <t>Infrastructure / Arrêt</t>
  </si>
  <si>
    <t>Abribus dégradé, pas d'éclairage</t>
  </si>
  <si>
    <t>R013</t>
  </si>
  <si>
    <t>Ville-d'Avray</t>
  </si>
  <si>
    <t>Information voyageurs inexistante</t>
  </si>
  <si>
    <t>R014</t>
  </si>
  <si>
    <t>291</t>
  </si>
  <si>
    <t>Retard récurrent en fin de journée</t>
  </si>
  <si>
    <t>R015</t>
  </si>
  <si>
    <t>Course supprimée non remplacée</t>
  </si>
  <si>
    <t>R016</t>
  </si>
  <si>
    <t>Chaville</t>
  </si>
  <si>
    <t>Altercation avec le conducteur</t>
  </si>
  <si>
    <t>R017</t>
  </si>
  <si>
    <t>289</t>
  </si>
  <si>
    <t>Ligne suspendue, attente prolongée</t>
  </si>
  <si>
    <t>R018</t>
  </si>
  <si>
    <t>Véhicule trop petit pour la fréquentation</t>
  </si>
  <si>
    <t>R019</t>
  </si>
  <si>
    <t>Retard quotidien au départ</t>
  </si>
  <si>
    <t>R020</t>
  </si>
  <si>
    <t>Panneau d'information en panne</t>
  </si>
  <si>
    <t>R021</t>
  </si>
  <si>
    <t>Arrêt mal signalé la nuit</t>
  </si>
  <si>
    <t>R022</t>
  </si>
  <si>
    <t>Suppression sans annonce sonore</t>
  </si>
  <si>
    <t>R023</t>
  </si>
  <si>
    <t>Bus 169 jamais vu a Vanves</t>
  </si>
  <si>
    <t>R024</t>
  </si>
  <si>
    <t>N118 bonde a Sevres</t>
  </si>
  <si>
    <t>R025</t>
  </si>
  <si>
    <t>Retard signale</t>
  </si>
  <si>
    <t>R026</t>
  </si>
  <si>
    <t>Reclamation pour l'an prochain</t>
  </si>
  <si>
    <t>canaux</t>
  </si>
  <si>
    <t>motifs</t>
  </si>
  <si>
    <t>numeros_lignes</t>
  </si>
  <si>
    <t>TABLEAU DE SUIVI DES RÉCLAMATIONS</t>
  </si>
  <si>
    <t>Synthèse de pilotage - réclamations réseau de bus</t>
  </si>
  <si>
    <t>ÉTAT DU TRAITEMENT</t>
  </si>
  <si>
    <t>Réclamations reçues</t>
  </si>
  <si>
    <t>Taux de clôture</t>
  </si>
  <si>
    <t>Réclamations en cours</t>
  </si>
  <si>
    <t>RÉPONSES AUX 3 QUESTIONS</t>
  </si>
  <si>
    <t>Q1 - Prestataire le plus problématique</t>
  </si>
  <si>
    <t>Q2 - Commune la plus impactée</t>
  </si>
  <si>
    <t>Q3 - Ligne la plus problématique</t>
  </si>
  <si>
    <t>DÉTAIL PAR TABLEAU CROISÉ DYNAMIQUE</t>
  </si>
  <si>
    <t>Réclamations par prestataire</t>
  </si>
  <si>
    <t>Réclamations par commune</t>
  </si>
  <si>
    <t>Réclamations par ligne</t>
  </si>
  <si>
    <t>Réclamations par motif</t>
  </si>
  <si>
    <t>Étiquettes de lignes</t>
  </si>
  <si>
    <t>Nombre de réclamations</t>
  </si>
  <si>
    <t>Total général</t>
  </si>
  <si>
    <t>ATM Croix du Sud SARL</t>
  </si>
  <si>
    <t>Keolis Île-de-France SA</t>
  </si>
  <si>
    <t>RATP Dev SACS</t>
  </si>
  <si>
    <t>Transdev Île-de-France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</si>
</sst>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20"/>
      <color rgb="FF009FE3"/>
      <name val="Calibri"/>
      <charset val="1"/>
    </font>
    <font>
      <sz val="11"/>
      <color rgb="FF5A6472"/>
      <name val="Calibri"/>
      <charset val="1"/>
    </font>
    <font>
      <b/>
      <sz val="12"/>
      <color rgb="FFFFFFFF"/>
      <name val="Calibri"/>
      <charset val="1"/>
    </font>
    <font>
      <b/>
      <sz val="26"/>
      <color rgb="FF009FE3"/>
      <name val="Calibri"/>
      <charset val="1"/>
    </font>
    <font>
      <b/>
      <sz val="26"/>
      <color rgb="FFE67E22"/>
      <name val="Calibri"/>
      <charset val="1"/>
    </font>
    <font>
      <sz val="10"/>
      <color rgb="FF5A6472"/>
      <name val="Calibri"/>
      <charset val="1"/>
    </font>
    <font>
      <b/>
      <sz val="10"/>
      <color rgb="FF5A6472"/>
      <name val="Calibri"/>
      <charset val="1"/>
    </font>
    <font>
      <b/>
      <sz val="15"/>
      <color rgb="FF95C11F"/>
      <name val="Calibri"/>
      <charset val="1"/>
    </font>
    <font>
      <b/>
      <sz val="11"/>
      <color rgb="FF009FE3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5A6472"/>
        <bgColor rgb="FF80808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74C3C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5C11F"/>
      <rgbColor rgb="FFFFCC00"/>
      <rgbColor rgb="FFFF9900"/>
      <rgbColor rgb="FFE67E22"/>
      <rgbColor rgb="FF5A6472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nnees_collegues/lignes_b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onnees_collegues/prestatai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gnes_bus"/>
      <sheetName val="communes"/>
      <sheetName val="passe_par"/>
    </sheetNames>
    <sheetDataSet>
      <sheetData sheetId="0">
        <row r="1">
          <cell r="B1" t="str">
            <v>code_ligne</v>
          </cell>
          <cell r="C1" t="str">
            <v>libelle</v>
          </cell>
          <cell r="D1" t="str">
            <v>type_ligne</v>
          </cell>
          <cell r="E1" t="str">
            <v>id_prestataire</v>
          </cell>
        </row>
        <row r="2">
          <cell r="B2" t="str">
            <v>169</v>
          </cell>
          <cell r="C2" t="str">
            <v>Pont de Sèvres - Champ de Mars</v>
          </cell>
          <cell r="D2" t="str">
            <v>Régulière</v>
          </cell>
          <cell r="E2" t="str">
            <v>P003</v>
          </cell>
        </row>
        <row r="3">
          <cell r="B3" t="str">
            <v>323</v>
          </cell>
          <cell r="C3" t="str">
            <v>Issy Mairie - Porte de Vanves</v>
          </cell>
          <cell r="D3" t="str">
            <v>Régulière</v>
          </cell>
          <cell r="E3" t="str">
            <v>P003</v>
          </cell>
        </row>
        <row r="4">
          <cell r="B4" t="str">
            <v>389</v>
          </cell>
          <cell r="C4" t="str">
            <v>Boulogne - Chaville Rive Droite</v>
          </cell>
          <cell r="D4" t="str">
            <v>Régulière</v>
          </cell>
          <cell r="E4" t="str">
            <v>P004</v>
          </cell>
        </row>
        <row r="5">
          <cell r="B5" t="str">
            <v>290</v>
          </cell>
          <cell r="C5" t="str">
            <v>Marne-la-Coquette - Pont de Sèvres</v>
          </cell>
          <cell r="D5" t="str">
            <v>Régulière</v>
          </cell>
          <cell r="E5" t="str">
            <v>P004</v>
          </cell>
        </row>
        <row r="6">
          <cell r="B6" t="str">
            <v>58</v>
          </cell>
          <cell r="C6" t="str">
            <v>Vanves Lycée Michelet - Issy</v>
          </cell>
          <cell r="D6" t="str">
            <v>Régulière</v>
          </cell>
          <cell r="E6" t="str">
            <v>P002</v>
          </cell>
        </row>
        <row r="7">
          <cell r="B7" t="str">
            <v>N118</v>
          </cell>
          <cell r="C7" t="str">
            <v>Noctilien Meudon - Chaville</v>
          </cell>
          <cell r="D7" t="str">
            <v>Noctilien</v>
          </cell>
          <cell r="E7" t="str">
            <v>P002</v>
          </cell>
        </row>
        <row r="8">
          <cell r="B8" t="str">
            <v>291</v>
          </cell>
          <cell r="C8" t="str">
            <v>Sèvres - Boulogne Pont de Sèvres</v>
          </cell>
          <cell r="D8" t="str">
            <v>Régulière</v>
          </cell>
          <cell r="E8" t="str">
            <v>P001</v>
          </cell>
        </row>
        <row r="9">
          <cell r="B9" t="str">
            <v>289</v>
          </cell>
          <cell r="C9" t="str">
            <v>Marne-la-Coquette - Garches</v>
          </cell>
          <cell r="D9" t="str">
            <v>Régulière</v>
          </cell>
          <cell r="E9" t="str">
            <v>P001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tataires"/>
    </sheetNames>
    <sheetDataSet>
      <sheetData sheetId="0">
        <row r="1">
          <cell r="A1" t="str">
            <v>id_prestataire</v>
          </cell>
          <cell r="B1" t="str">
            <v>raison_sociale</v>
          </cell>
          <cell r="C1" t="str">
            <v>nom_commercial</v>
          </cell>
          <cell r="D1" t="str">
            <v>type_contrat</v>
          </cell>
          <cell r="E1" t="str">
            <v>date_debut</v>
          </cell>
          <cell r="F1" t="str">
            <v>date_fin</v>
          </cell>
        </row>
        <row r="2">
          <cell r="A2" t="str">
            <v>P001</v>
          </cell>
          <cell r="B2" t="str">
            <v>Keolis Île-de-France SA</v>
          </cell>
          <cell r="C2" t="str">
            <v>Keolis IDF</v>
          </cell>
          <cell r="D2" t="str">
            <v>Marché public</v>
          </cell>
          <cell r="E2">
            <v>44562</v>
          </cell>
          <cell r="F2">
            <v>46752</v>
          </cell>
        </row>
        <row r="3">
          <cell r="A3" t="str">
            <v>P002</v>
          </cell>
          <cell r="B3" t="str">
            <v>RATP Dev SACS</v>
          </cell>
          <cell r="C3" t="str">
            <v>RATP Dev</v>
          </cell>
          <cell r="D3" t="str">
            <v>DSP</v>
          </cell>
          <cell r="E3">
            <v>43647</v>
          </cell>
          <cell r="F3">
            <v>46203</v>
          </cell>
        </row>
        <row r="4">
          <cell r="A4" t="str">
            <v>P003</v>
          </cell>
          <cell r="B4" t="str">
            <v>Transdev Île-de-France SA</v>
          </cell>
          <cell r="C4" t="str">
            <v>Transdev IDF</v>
          </cell>
          <cell r="D4" t="str">
            <v>DSP</v>
          </cell>
          <cell r="E4">
            <v>44197</v>
          </cell>
          <cell r="F4">
            <v>47118</v>
          </cell>
        </row>
        <row r="5">
          <cell r="A5" t="str">
            <v>P004</v>
          </cell>
          <cell r="B5" t="str">
            <v>ATM Croix du Sud SARL</v>
          </cell>
          <cell r="C5" t="str">
            <v>ATM</v>
          </cell>
          <cell r="D5" t="str">
            <v>Marché public</v>
          </cell>
          <cell r="E5">
            <v>43891</v>
          </cell>
          <cell r="F5">
            <v>45716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iantsoanavalona Mandresy" refreshedDate="46184.714189583334" createdVersion="8" refreshedVersion="8" minRefreshableVersion="3" recordCount="26" xr:uid="{00000000-000A-0000-FFFF-FFFF01000000}">
  <cacheSource type="worksheet">
    <worksheetSource ref="A1:P27" sheet="reclamations"/>
  </cacheSource>
  <cacheFields count="16">
    <cacheField name="id_reclamation" numFmtId="0">
      <sharedItems/>
    </cacheField>
    <cacheField name="date_reception" numFmtId="14">
      <sharedItems containsSemiMixedTypes="0" containsNonDate="0" containsDate="1" containsString="0" minDate="2024-02-05T00:00:00" maxDate="2027-09-02T00:00:00"/>
    </cacheField>
    <cacheField name="canal" numFmtId="0">
      <sharedItems/>
    </cacheField>
    <cacheField name="numero_ligne" numFmtId="0">
      <sharedItems count="8">
        <s v="169"/>
        <s v="323"/>
        <s v="389"/>
        <s v="290"/>
        <s v="58"/>
        <s v="N118"/>
        <s v="291"/>
        <s v="289"/>
      </sharedItems>
    </cacheField>
    <cacheField name="commune" numFmtId="0">
      <sharedItems count="8">
        <s v="Meudon"/>
        <s v="Boulogne-Billancourt"/>
        <s v="Issy-les-Moulineaux"/>
        <s v="Marne-la-Coquette"/>
        <s v="Vanves"/>
        <s v="Sèvres"/>
        <s v="Ville-d'Avray"/>
        <s v="Chaville"/>
      </sharedItems>
    </cacheField>
    <cacheField name="motif" numFmtId="0">
      <sharedItems count="6">
        <s v="Retard"/>
        <s v="Suppression de service"/>
        <s v="Information voyageurs"/>
        <s v="Confort / Surcharge"/>
        <s v="Comportement conducteur"/>
        <s v="Infrastructure / Arrêt"/>
      </sharedItems>
    </cacheField>
    <cacheField name="objet" numFmtId="0">
      <sharedItems/>
    </cacheField>
    <cacheField name="cloturee" numFmtId="0">
      <sharedItems containsSemiMixedTypes="0" containsString="0" containsNumber="1" containsInteger="1" minValue="0" maxValue="1"/>
    </cacheField>
    <cacheField name="date_cloture" numFmtId="14">
      <sharedItems containsNonDate="0" containsDate="1" containsString="0" containsBlank="1" minDate="2024-02-08T00:00:00" maxDate="2026-06-06T00:00:00"/>
    </cacheField>
    <cacheField name="prestataire" numFmtId="0">
      <sharedItems count="5">
        <s v="Transdev Île-de-France SA"/>
        <s v="ATM Croix du Sud SARL"/>
        <s v="RATP Dev SACS"/>
        <s v="Keolis Île-de-France SA"/>
        <e v="#N/A" u="1"/>
      </sharedItems>
    </cacheField>
    <cacheField name="type_marche" numFmtId="0">
      <sharedItems/>
    </cacheField>
    <cacheField name="date_fin_contrat" numFmtId="14">
      <sharedItems containsSemiMixedTypes="0" containsNonDate="0" containsDate="1" containsString="0" minDate="2025-02-28T00:00:00" maxDate="2029-01-01T00:00:00"/>
    </cacheField>
    <cacheField name="ecart_fin_contrat_j" numFmtId="1">
      <sharedItems containsSemiMixedTypes="0" containsString="0" containsNumber="1" containsInteger="1" minValue="-436" maxValue="1791"/>
    </cacheField>
    <cacheField name="alerte_fin_contrat" numFmtId="0">
      <sharedItems/>
    </cacheField>
    <cacheField name="annee" numFmtId="0">
      <sharedItems containsSemiMixedTypes="0" containsString="0" containsNumber="1" containsInteger="1" minValue="2024" maxValue="2027"/>
    </cacheField>
    <cacheField name="trimest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R001"/>
    <d v="2024-02-05T00:00:00"/>
    <s v="Téléphone"/>
    <x v="0"/>
    <x v="0"/>
    <x v="0"/>
    <s v="Retard de 20 min annoncé tardivement"/>
    <n v="1"/>
    <d v="2024-02-08T00:00:00"/>
    <x v="0"/>
    <s v="DSP"/>
    <d v="2028-12-31T00:00:00"/>
    <n v="1791"/>
    <s v="Suivi normal"/>
    <n v="2024"/>
    <s v="T1"/>
  </r>
  <r>
    <s v="R002"/>
    <d v="2024-05-14T00:00:00"/>
    <s v="Email"/>
    <x v="0"/>
    <x v="0"/>
    <x v="0"/>
    <s v="Retards répétés le matin sur le 169"/>
    <n v="0"/>
    <m/>
    <x v="0"/>
    <s v="DSP"/>
    <d v="2028-12-31T00:00:00"/>
    <n v="1692"/>
    <s v="Suivi normal"/>
    <n v="2024"/>
    <s v="T2"/>
  </r>
  <r>
    <s v="R003"/>
    <d v="2024-06-20T00:00:00"/>
    <s v="Formulaire web"/>
    <x v="1"/>
    <x v="0"/>
    <x v="1"/>
    <s v="Bus supprimé sans information"/>
    <n v="0"/>
    <m/>
    <x v="0"/>
    <s v="DSP"/>
    <d v="2028-12-31T00:00:00"/>
    <n v="1655"/>
    <s v="Suivi normal"/>
    <n v="2024"/>
    <s v="T2"/>
  </r>
  <r>
    <s v="R004"/>
    <d v="2024-08-09T00:00:00"/>
    <s v="Courrier"/>
    <x v="2"/>
    <x v="1"/>
    <x v="2"/>
    <s v="Affichage des horaires erroné à l'arrêt"/>
    <n v="1"/>
    <d v="2024-08-14T00:00:00"/>
    <x v="1"/>
    <s v="Marché public"/>
    <d v="2025-02-28T00:00:00"/>
    <n v="203"/>
    <s v="Échéance proche"/>
    <n v="2024"/>
    <s v="T3"/>
  </r>
  <r>
    <s v="R005"/>
    <d v="2024-09-26T00:00:00"/>
    <s v="Guichet"/>
    <x v="0"/>
    <x v="2"/>
    <x v="0"/>
    <s v="Correspondance manquée à cause d'un retard"/>
    <n v="1"/>
    <d v="2024-09-30T00:00:00"/>
    <x v="0"/>
    <s v="DSP"/>
    <d v="2028-12-31T00:00:00"/>
    <n v="1557"/>
    <s v="Suivi normal"/>
    <n v="2024"/>
    <s v="T3"/>
  </r>
  <r>
    <s v="R006"/>
    <d v="2024-11-12T00:00:00"/>
    <s v="Réseaux sociaux"/>
    <x v="3"/>
    <x v="3"/>
    <x v="3"/>
    <s v="Bus bondé aux heures de pointe"/>
    <n v="0"/>
    <m/>
    <x v="1"/>
    <s v="Marché public"/>
    <d v="2025-02-28T00:00:00"/>
    <n v="108"/>
    <s v="Échéance proche"/>
    <n v="2024"/>
    <s v="T4"/>
  </r>
  <r>
    <s v="R007"/>
    <d v="2024-12-03T00:00:00"/>
    <s v="Téléphone"/>
    <x v="0"/>
    <x v="0"/>
    <x v="4"/>
    <s v="Conducteur désagréable avec une usagère"/>
    <n v="1"/>
    <d v="2024-12-09T00:00:00"/>
    <x v="0"/>
    <s v="DSP"/>
    <d v="2028-12-31T00:00:00"/>
    <n v="1489"/>
    <s v="Suivi normal"/>
    <n v="2024"/>
    <s v="T4"/>
  </r>
  <r>
    <s v="R008"/>
    <d v="2025-01-30T00:00:00"/>
    <s v="Email"/>
    <x v="4"/>
    <x v="4"/>
    <x v="0"/>
    <s v="Passage sans arrêt malgré l'attente"/>
    <n v="1"/>
    <d v="2025-02-04T00:00:00"/>
    <x v="2"/>
    <s v="DSP"/>
    <d v="2026-06-30T00:00:00"/>
    <n v="516"/>
    <s v="Échéance proche"/>
    <n v="2025"/>
    <s v="T1"/>
  </r>
  <r>
    <s v="R009"/>
    <d v="2025-02-18T00:00:00"/>
    <s v="Formulaire web"/>
    <x v="1"/>
    <x v="5"/>
    <x v="1"/>
    <s v="Service interrompu en soirée"/>
    <n v="0"/>
    <m/>
    <x v="0"/>
    <s v="DSP"/>
    <d v="2028-12-31T00:00:00"/>
    <n v="1412"/>
    <s v="Suivi normal"/>
    <n v="2025"/>
    <s v="T1"/>
  </r>
  <r>
    <s v="R010"/>
    <d v="2025-04-07T00:00:00"/>
    <s v="Courrier"/>
    <x v="0"/>
    <x v="3"/>
    <x v="0"/>
    <s v="Retard important sans explication"/>
    <n v="0"/>
    <m/>
    <x v="0"/>
    <s v="DSP"/>
    <d v="2028-12-31T00:00:00"/>
    <n v="1364"/>
    <s v="Suivi normal"/>
    <n v="2025"/>
    <s v="T2"/>
  </r>
  <r>
    <s v="R011"/>
    <d v="2025-05-22T00:00:00"/>
    <s v="Guichet"/>
    <x v="5"/>
    <x v="0"/>
    <x v="3"/>
    <s v="Surcharge la nuit, voyageurs debout"/>
    <n v="1"/>
    <d v="2025-05-27T00:00:00"/>
    <x v="2"/>
    <s v="DSP"/>
    <d v="2026-06-30T00:00:00"/>
    <n v="404"/>
    <s v="Échéance proche"/>
    <n v="2025"/>
    <s v="T2"/>
  </r>
  <r>
    <s v="R012"/>
    <d v="2025-07-14T00:00:00"/>
    <s v="Réseaux sociaux"/>
    <x v="2"/>
    <x v="2"/>
    <x v="5"/>
    <s v="Abribus dégradé, pas d'éclairage"/>
    <n v="1"/>
    <d v="2025-07-18T00:00:00"/>
    <x v="1"/>
    <s v="Marché public"/>
    <d v="2025-02-28T00:00:00"/>
    <n v="-136"/>
    <s v="Contrat expiré"/>
    <n v="2025"/>
    <s v="T3"/>
  </r>
  <r>
    <s v="R013"/>
    <d v="2025-08-28T00:00:00"/>
    <s v="Téléphone"/>
    <x v="0"/>
    <x v="6"/>
    <x v="2"/>
    <s v="Information voyageurs inexistante"/>
    <n v="0"/>
    <m/>
    <x v="0"/>
    <s v="DSP"/>
    <d v="2028-12-31T00:00:00"/>
    <n v="1221"/>
    <s v="Suivi normal"/>
    <n v="2025"/>
    <s v="T3"/>
  </r>
  <r>
    <s v="R014"/>
    <d v="2025-10-21T00:00:00"/>
    <s v="Email"/>
    <x v="6"/>
    <x v="5"/>
    <x v="0"/>
    <s v="Retard récurrent en fin de journée"/>
    <n v="1"/>
    <d v="2025-10-28T00:00:00"/>
    <x v="3"/>
    <s v="Marché public"/>
    <d v="2027-12-31T00:00:00"/>
    <n v="801"/>
    <s v="Suivi normal"/>
    <n v="2025"/>
    <s v="T4"/>
  </r>
  <r>
    <s v="R015"/>
    <d v="2025-11-25T00:00:00"/>
    <s v="Formulaire web"/>
    <x v="0"/>
    <x v="0"/>
    <x v="1"/>
    <s v="Course supprimée non remplacée"/>
    <n v="0"/>
    <m/>
    <x v="0"/>
    <s v="DSP"/>
    <d v="2028-12-31T00:00:00"/>
    <n v="1132"/>
    <s v="Suivi normal"/>
    <n v="2025"/>
    <s v="T4"/>
  </r>
  <r>
    <s v="R016"/>
    <d v="2026-01-15T00:00:00"/>
    <s v="Courrier"/>
    <x v="3"/>
    <x v="7"/>
    <x v="4"/>
    <s v="Altercation avec le conducteur"/>
    <n v="1"/>
    <d v="2026-01-20T00:00:00"/>
    <x v="1"/>
    <s v="Marché public"/>
    <d v="2025-02-28T00:00:00"/>
    <n v="-321"/>
    <s v="Contrat expiré"/>
    <n v="2026"/>
    <s v="T1"/>
  </r>
  <r>
    <s v="R017"/>
    <d v="2026-02-04T00:00:00"/>
    <s v="Guichet"/>
    <x v="7"/>
    <x v="3"/>
    <x v="0"/>
    <s v="Ligne suspendue, attente prolongée"/>
    <n v="0"/>
    <m/>
    <x v="3"/>
    <s v="Marché public"/>
    <d v="2027-12-31T00:00:00"/>
    <n v="695"/>
    <s v="Suivi normal"/>
    <n v="2026"/>
    <s v="T1"/>
  </r>
  <r>
    <s v="R018"/>
    <d v="2026-03-08T00:00:00"/>
    <s v="Réseaux sociaux"/>
    <x v="1"/>
    <x v="2"/>
    <x v="3"/>
    <s v="Véhicule trop petit pour la fréquentation"/>
    <n v="1"/>
    <d v="2026-03-12T00:00:00"/>
    <x v="0"/>
    <s v="DSP"/>
    <d v="2028-12-31T00:00:00"/>
    <n v="1029"/>
    <s v="Suivi normal"/>
    <n v="2026"/>
    <s v="T1"/>
  </r>
  <r>
    <s v="R019"/>
    <d v="2026-04-12T00:00:00"/>
    <s v="Téléphone"/>
    <x v="0"/>
    <x v="3"/>
    <x v="0"/>
    <s v="Retard quotidien au départ"/>
    <n v="0"/>
    <m/>
    <x v="0"/>
    <s v="DSP"/>
    <d v="2028-12-31T00:00:00"/>
    <n v="994"/>
    <s v="Suivi normal"/>
    <n v="2026"/>
    <s v="T2"/>
  </r>
  <r>
    <s v="R020"/>
    <d v="2026-05-06T00:00:00"/>
    <s v="Email"/>
    <x v="4"/>
    <x v="1"/>
    <x v="2"/>
    <s v="Panneau d'information en panne"/>
    <n v="1"/>
    <d v="2026-05-11T00:00:00"/>
    <x v="2"/>
    <s v="DSP"/>
    <d v="2026-06-30T00:00:00"/>
    <n v="55"/>
    <s v="Échéance proche"/>
    <n v="2026"/>
    <s v="T2"/>
  </r>
  <r>
    <s v="R021"/>
    <d v="2026-05-19T00:00:00"/>
    <s v="Formulaire web"/>
    <x v="5"/>
    <x v="7"/>
    <x v="5"/>
    <s v="Arrêt mal signalé la nuit"/>
    <n v="0"/>
    <m/>
    <x v="2"/>
    <s v="DSP"/>
    <d v="2026-06-30T00:00:00"/>
    <n v="42"/>
    <s v="Échéance proche"/>
    <n v="2026"/>
    <s v="T2"/>
  </r>
  <r>
    <s v="R022"/>
    <d v="2026-06-02T00:00:00"/>
    <s v="Courrier"/>
    <x v="0"/>
    <x v="2"/>
    <x v="1"/>
    <s v="Suppression sans annonce sonore"/>
    <n v="1"/>
    <d v="2026-06-05T00:00:00"/>
    <x v="0"/>
    <s v="DSP"/>
    <d v="2028-12-31T00:00:00"/>
    <n v="943"/>
    <s v="Suivi normal"/>
    <n v="2026"/>
    <s v="T2"/>
  </r>
  <r>
    <s v="R023"/>
    <d v="2026-03-15T00:00:00"/>
    <s v="Email"/>
    <x v="0"/>
    <x v="4"/>
    <x v="0"/>
    <s v="Bus 169 jamais vu a Vanves"/>
    <n v="0"/>
    <m/>
    <x v="0"/>
    <s v="DSP"/>
    <d v="2028-12-31T00:00:00"/>
    <n v="1022"/>
    <s v="Suivi normal"/>
    <n v="2026"/>
    <s v="T1"/>
  </r>
  <r>
    <s v="R024"/>
    <d v="2026-04-20T00:00:00"/>
    <s v="Téléphone"/>
    <x v="5"/>
    <x v="5"/>
    <x v="3"/>
    <s v="N118 bonde a Sevres"/>
    <n v="1"/>
    <d v="2026-04-25T00:00:00"/>
    <x v="2"/>
    <s v="DSP"/>
    <d v="2026-06-30T00:00:00"/>
    <n v="71"/>
    <s v="Échéance proche"/>
    <n v="2026"/>
    <s v="T2"/>
  </r>
  <r>
    <s v="R025"/>
    <d v="2026-05-10T00:00:00"/>
    <s v="Guichet"/>
    <x v="3"/>
    <x v="7"/>
    <x v="0"/>
    <s v="Retard signale"/>
    <n v="1"/>
    <d v="2026-05-02T00:00:00"/>
    <x v="1"/>
    <s v="Marché public"/>
    <d v="2025-02-28T00:00:00"/>
    <n v="-436"/>
    <s v="Contrat expiré"/>
    <n v="2026"/>
    <s v="T2"/>
  </r>
  <r>
    <s v="R026"/>
    <d v="2027-09-01T00:00:00"/>
    <s v="Courrier"/>
    <x v="1"/>
    <x v="0"/>
    <x v="1"/>
    <s v="Reclamation pour l'an prochain"/>
    <n v="0"/>
    <m/>
    <x v="0"/>
    <s v="DSP"/>
    <d v="2028-12-31T00:00:00"/>
    <n v="487"/>
    <s v="Échéance proche"/>
    <n v="2027"/>
    <s v="T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CD_commune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6:B35" firstHeaderRow="1" firstDataRow="1" firstDataCol="1"/>
  <pivotFields count="16">
    <pivotField dataField="1" showAll="0"/>
    <pivotField showAll="0"/>
    <pivotField showAll="0"/>
    <pivotField showAll="0"/>
    <pivotField axis="axisRow" showAll="0">
      <items count="9">
        <item x="1"/>
        <item x="7"/>
        <item x="2"/>
        <item x="3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ombre de réclamation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CD_ligne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26:E35" firstHeaderRow="1" firstDataRow="1" firstDataCol="1"/>
  <pivotFields count="16">
    <pivotField dataField="1" showAll="0"/>
    <pivotField showAll="0"/>
    <pivotField showAll="0"/>
    <pivotField axis="axisRow" showAll="0">
      <items count="9">
        <item x="0"/>
        <item x="7"/>
        <item x="3"/>
        <item x="6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ombre de réclamation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CD_motif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16:E23" firstHeaderRow="1" firstDataRow="1" firstDataCol="1"/>
  <pivotFields count="16"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réclamation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CD_prestataire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6:B21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réclamation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zoomScaleNormal="100" workbookViewId="0">
      <pane ySplit="1" topLeftCell="A2" activePane="bottomLeft" state="frozen"/>
      <selection pane="bottomLeft" activeCell="J3" sqref="J3"/>
    </sheetView>
  </sheetViews>
  <sheetFormatPr baseColWidth="10" defaultColWidth="8.5546875" defaultRowHeight="14.4" x14ac:dyDescent="0.3"/>
  <cols>
    <col min="1" max="2" width="14" customWidth="1"/>
    <col min="3" max="3" width="15" customWidth="1"/>
    <col min="4" max="4" width="13" customWidth="1"/>
    <col min="5" max="5" width="20" customWidth="1"/>
    <col min="6" max="6" width="22" customWidth="1"/>
    <col min="7" max="7" width="42" customWidth="1"/>
    <col min="8" max="8" width="9" customWidth="1"/>
    <col min="9" max="9" width="13" customWidth="1"/>
    <col min="10" max="10" width="24" customWidth="1"/>
    <col min="11" max="11" width="14" customWidth="1"/>
    <col min="12" max="14" width="16" customWidth="1"/>
    <col min="15" max="15" width="8" customWidth="1"/>
    <col min="16" max="16" width="10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45327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3">
        <v>45330</v>
      </c>
      <c r="J2" s="2" t="str">
        <f>VLOOKUP(VLOOKUP($D2,[1]lignes_bus!$B$1:$E$200,4,0),[2]prestataires!$A$1:$F$50,2,0)</f>
        <v>Transdev Île-de-France SA</v>
      </c>
      <c r="K2" s="2" t="str">
        <f>VLOOKUP(VLOOKUP($D2,[1]lignes_bus!$B$1:$E$200,4,0),[2]prestataires!$A$1:$F$50,4,0)</f>
        <v>DSP</v>
      </c>
      <c r="L2" s="3">
        <f>VLOOKUP(VLOOKUP($D2,[1]lignes_bus!$B$1:$E$200,4,0),[2]prestataires!$A$1:$F$50,6,0)</f>
        <v>47118</v>
      </c>
      <c r="M2" s="4">
        <f t="shared" ref="M2:M27" si="0">$L2-$B2</f>
        <v>1791</v>
      </c>
      <c r="N2" s="2" t="str">
        <f t="shared" ref="N2:N27" si="1">IF($M2&lt;0,"Contrat expiré",IF($M2&lt;=548,"Échéance proche","Suivi normal"))</f>
        <v>Suivi normal</v>
      </c>
      <c r="O2" s="2">
        <f t="shared" ref="O2:O27" si="2">IF($B2="","",YEAR($B2))</f>
        <v>2024</v>
      </c>
      <c r="P2" s="2" t="str">
        <f t="shared" ref="P2:P27" si="3">IF($B2="","","T"&amp;ROUNDUP(MONTH($B2)/3,0))</f>
        <v>T1</v>
      </c>
    </row>
    <row r="3" spans="1:16" x14ac:dyDescent="0.3">
      <c r="A3" s="2" t="s">
        <v>22</v>
      </c>
      <c r="B3" s="3">
        <v>45426</v>
      </c>
      <c r="C3" s="2" t="s">
        <v>23</v>
      </c>
      <c r="D3" s="2" t="s">
        <v>18</v>
      </c>
      <c r="E3" s="2" t="s">
        <v>19</v>
      </c>
      <c r="F3" s="2" t="s">
        <v>20</v>
      </c>
      <c r="G3" s="2" t="s">
        <v>24</v>
      </c>
      <c r="H3" s="2">
        <v>0</v>
      </c>
      <c r="I3" s="3"/>
      <c r="J3" s="2" t="str">
        <f>VLOOKUP(VLOOKUP($D3,[1]lignes_bus!$B$1:$E$200,4,0),[2]prestataires!$A$1:$F$50,2,0)</f>
        <v>Transdev Île-de-France SA</v>
      </c>
      <c r="K3" s="2" t="str">
        <f>VLOOKUP(VLOOKUP($D3,[1]lignes_bus!$B$1:$E$200,4,0),[2]prestataires!$A$1:$F$50,4,0)</f>
        <v>DSP</v>
      </c>
      <c r="L3" s="3">
        <f>VLOOKUP(VLOOKUP($D3,[1]lignes_bus!$B$1:$E$200,4,0),[2]prestataires!$A$1:$F$50,6,0)</f>
        <v>47118</v>
      </c>
      <c r="M3" s="4">
        <f t="shared" si="0"/>
        <v>1692</v>
      </c>
      <c r="N3" s="2" t="str">
        <f t="shared" si="1"/>
        <v>Suivi normal</v>
      </c>
      <c r="O3" s="2">
        <f t="shared" si="2"/>
        <v>2024</v>
      </c>
      <c r="P3" s="2" t="str">
        <f t="shared" si="3"/>
        <v>T2</v>
      </c>
    </row>
    <row r="4" spans="1:16" x14ac:dyDescent="0.3">
      <c r="A4" s="2" t="s">
        <v>25</v>
      </c>
      <c r="B4" s="3">
        <v>45463</v>
      </c>
      <c r="C4" s="2" t="s">
        <v>26</v>
      </c>
      <c r="D4" s="2" t="s">
        <v>27</v>
      </c>
      <c r="E4" s="2" t="s">
        <v>19</v>
      </c>
      <c r="F4" s="2" t="s">
        <v>28</v>
      </c>
      <c r="G4" s="2" t="s">
        <v>29</v>
      </c>
      <c r="H4" s="2">
        <v>0</v>
      </c>
      <c r="I4" s="3"/>
      <c r="J4" s="2" t="str">
        <f>VLOOKUP(VLOOKUP($D4,[1]lignes_bus!$B$1:$E$200,4,0),[2]prestataires!$A$1:$F$50,2,0)</f>
        <v>Transdev Île-de-France SA</v>
      </c>
      <c r="K4" s="2" t="str">
        <f>VLOOKUP(VLOOKUP($D4,[1]lignes_bus!$B$1:$E$200,4,0),[2]prestataires!$A$1:$F$50,4,0)</f>
        <v>DSP</v>
      </c>
      <c r="L4" s="3">
        <f>VLOOKUP(VLOOKUP($D4,[1]lignes_bus!$B$1:$E$200,4,0),[2]prestataires!$A$1:$F$50,6,0)</f>
        <v>47118</v>
      </c>
      <c r="M4" s="4">
        <f t="shared" si="0"/>
        <v>1655</v>
      </c>
      <c r="N4" s="2" t="str">
        <f t="shared" si="1"/>
        <v>Suivi normal</v>
      </c>
      <c r="O4" s="2">
        <f t="shared" si="2"/>
        <v>2024</v>
      </c>
      <c r="P4" s="2" t="str">
        <f t="shared" si="3"/>
        <v>T2</v>
      </c>
    </row>
    <row r="5" spans="1:16" x14ac:dyDescent="0.3">
      <c r="A5" s="2" t="s">
        <v>30</v>
      </c>
      <c r="B5" s="3">
        <v>45513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1</v>
      </c>
      <c r="I5" s="3">
        <v>45518</v>
      </c>
      <c r="J5" s="2" t="str">
        <f>VLOOKUP(VLOOKUP($D5,[1]lignes_bus!$B$1:$E$200,4,0),[2]prestataires!$A$1:$F$50,2,0)</f>
        <v>ATM Croix du Sud SARL</v>
      </c>
      <c r="K5" s="2" t="str">
        <f>VLOOKUP(VLOOKUP($D5,[1]lignes_bus!$B$1:$E$200,4,0),[2]prestataires!$A$1:$F$50,4,0)</f>
        <v>Marché public</v>
      </c>
      <c r="L5" s="3">
        <f>VLOOKUP(VLOOKUP($D5,[1]lignes_bus!$B$1:$E$200,4,0),[2]prestataires!$A$1:$F$50,6,0)</f>
        <v>45716</v>
      </c>
      <c r="M5" s="4">
        <f t="shared" si="0"/>
        <v>203</v>
      </c>
      <c r="N5" s="2" t="str">
        <f t="shared" si="1"/>
        <v>Échéance proche</v>
      </c>
      <c r="O5" s="2">
        <f t="shared" si="2"/>
        <v>2024</v>
      </c>
      <c r="P5" s="2" t="str">
        <f t="shared" si="3"/>
        <v>T3</v>
      </c>
    </row>
    <row r="6" spans="1:16" x14ac:dyDescent="0.3">
      <c r="A6" s="2" t="s">
        <v>36</v>
      </c>
      <c r="B6" s="3">
        <v>45561</v>
      </c>
      <c r="C6" s="2" t="s">
        <v>37</v>
      </c>
      <c r="D6" s="2" t="s">
        <v>18</v>
      </c>
      <c r="E6" s="2" t="s">
        <v>38</v>
      </c>
      <c r="F6" s="2" t="s">
        <v>20</v>
      </c>
      <c r="G6" s="2" t="s">
        <v>39</v>
      </c>
      <c r="H6" s="2">
        <v>1</v>
      </c>
      <c r="I6" s="3">
        <v>45565</v>
      </c>
      <c r="J6" s="2" t="str">
        <f>VLOOKUP(VLOOKUP($D6,[1]lignes_bus!$B$1:$E$200,4,0),[2]prestataires!$A$1:$F$50,2,0)</f>
        <v>Transdev Île-de-France SA</v>
      </c>
      <c r="K6" s="2" t="str">
        <f>VLOOKUP(VLOOKUP($D6,[1]lignes_bus!$B$1:$E$200,4,0),[2]prestataires!$A$1:$F$50,4,0)</f>
        <v>DSP</v>
      </c>
      <c r="L6" s="3">
        <f>VLOOKUP(VLOOKUP($D6,[1]lignes_bus!$B$1:$E$200,4,0),[2]prestataires!$A$1:$F$50,6,0)</f>
        <v>47118</v>
      </c>
      <c r="M6" s="4">
        <f t="shared" si="0"/>
        <v>1557</v>
      </c>
      <c r="N6" s="2" t="str">
        <f t="shared" si="1"/>
        <v>Suivi normal</v>
      </c>
      <c r="O6" s="2">
        <f t="shared" si="2"/>
        <v>2024</v>
      </c>
      <c r="P6" s="2" t="str">
        <f t="shared" si="3"/>
        <v>T3</v>
      </c>
    </row>
    <row r="7" spans="1:16" x14ac:dyDescent="0.3">
      <c r="A7" s="2" t="s">
        <v>40</v>
      </c>
      <c r="B7" s="3">
        <v>45608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>
        <v>0</v>
      </c>
      <c r="I7" s="3"/>
      <c r="J7" s="2" t="str">
        <f>VLOOKUP(VLOOKUP($D7,[1]lignes_bus!$B$1:$E$200,4,0),[2]prestataires!$A$1:$F$50,2,0)</f>
        <v>ATM Croix du Sud SARL</v>
      </c>
      <c r="K7" s="2" t="str">
        <f>VLOOKUP(VLOOKUP($D7,[1]lignes_bus!$B$1:$E$200,4,0),[2]prestataires!$A$1:$F$50,4,0)</f>
        <v>Marché public</v>
      </c>
      <c r="L7" s="3">
        <f>VLOOKUP(VLOOKUP($D7,[1]lignes_bus!$B$1:$E$200,4,0),[2]prestataires!$A$1:$F$50,6,0)</f>
        <v>45716</v>
      </c>
      <c r="M7" s="4">
        <f t="shared" si="0"/>
        <v>108</v>
      </c>
      <c r="N7" s="2" t="str">
        <f t="shared" si="1"/>
        <v>Échéance proche</v>
      </c>
      <c r="O7" s="2">
        <f t="shared" si="2"/>
        <v>2024</v>
      </c>
      <c r="P7" s="2" t="str">
        <f t="shared" si="3"/>
        <v>T4</v>
      </c>
    </row>
    <row r="8" spans="1:16" x14ac:dyDescent="0.3">
      <c r="A8" s="2" t="s">
        <v>46</v>
      </c>
      <c r="B8" s="3">
        <v>45629</v>
      </c>
      <c r="C8" s="2" t="s">
        <v>17</v>
      </c>
      <c r="D8" s="2" t="s">
        <v>18</v>
      </c>
      <c r="E8" s="2" t="s">
        <v>19</v>
      </c>
      <c r="F8" s="2" t="s">
        <v>47</v>
      </c>
      <c r="G8" s="2" t="s">
        <v>48</v>
      </c>
      <c r="H8" s="2">
        <v>1</v>
      </c>
      <c r="I8" s="3">
        <v>45635</v>
      </c>
      <c r="J8" s="2" t="str">
        <f>VLOOKUP(VLOOKUP($D8,[1]lignes_bus!$B$1:$E$200,4,0),[2]prestataires!$A$1:$F$50,2,0)</f>
        <v>Transdev Île-de-France SA</v>
      </c>
      <c r="K8" s="2" t="str">
        <f>VLOOKUP(VLOOKUP($D8,[1]lignes_bus!$B$1:$E$200,4,0),[2]prestataires!$A$1:$F$50,4,0)</f>
        <v>DSP</v>
      </c>
      <c r="L8" s="3">
        <f>VLOOKUP(VLOOKUP($D8,[1]lignes_bus!$B$1:$E$200,4,0),[2]prestataires!$A$1:$F$50,6,0)</f>
        <v>47118</v>
      </c>
      <c r="M8" s="4">
        <f t="shared" si="0"/>
        <v>1489</v>
      </c>
      <c r="N8" s="2" t="str">
        <f t="shared" si="1"/>
        <v>Suivi normal</v>
      </c>
      <c r="O8" s="2">
        <f t="shared" si="2"/>
        <v>2024</v>
      </c>
      <c r="P8" s="2" t="str">
        <f t="shared" si="3"/>
        <v>T4</v>
      </c>
    </row>
    <row r="9" spans="1:16" x14ac:dyDescent="0.3">
      <c r="A9" s="2" t="s">
        <v>49</v>
      </c>
      <c r="B9" s="3">
        <v>45687</v>
      </c>
      <c r="C9" s="2" t="s">
        <v>23</v>
      </c>
      <c r="D9" s="2" t="s">
        <v>50</v>
      </c>
      <c r="E9" s="2" t="s">
        <v>51</v>
      </c>
      <c r="F9" s="2" t="s">
        <v>20</v>
      </c>
      <c r="G9" s="2" t="s">
        <v>52</v>
      </c>
      <c r="H9" s="2">
        <v>1</v>
      </c>
      <c r="I9" s="3">
        <v>45692</v>
      </c>
      <c r="J9" s="2" t="str">
        <f>VLOOKUP(VLOOKUP($D9,[1]lignes_bus!$B$1:$E$200,4,0),[2]prestataires!$A$1:$F$50,2,0)</f>
        <v>RATP Dev SACS</v>
      </c>
      <c r="K9" s="2" t="str">
        <f>VLOOKUP(VLOOKUP($D9,[1]lignes_bus!$B$1:$E$200,4,0),[2]prestataires!$A$1:$F$50,4,0)</f>
        <v>DSP</v>
      </c>
      <c r="L9" s="3">
        <f>VLOOKUP(VLOOKUP($D9,[1]lignes_bus!$B$1:$E$200,4,0),[2]prestataires!$A$1:$F$50,6,0)</f>
        <v>46203</v>
      </c>
      <c r="M9" s="4">
        <f t="shared" si="0"/>
        <v>516</v>
      </c>
      <c r="N9" s="2" t="str">
        <f t="shared" si="1"/>
        <v>Échéance proche</v>
      </c>
      <c r="O9" s="2">
        <f t="shared" si="2"/>
        <v>2025</v>
      </c>
      <c r="P9" s="2" t="str">
        <f t="shared" si="3"/>
        <v>T1</v>
      </c>
    </row>
    <row r="10" spans="1:16" x14ac:dyDescent="0.3">
      <c r="A10" s="2" t="s">
        <v>53</v>
      </c>
      <c r="B10" s="3">
        <v>45706</v>
      </c>
      <c r="C10" s="2" t="s">
        <v>26</v>
      </c>
      <c r="D10" s="2" t="s">
        <v>27</v>
      </c>
      <c r="E10" s="2" t="s">
        <v>54</v>
      </c>
      <c r="F10" s="2" t="s">
        <v>28</v>
      </c>
      <c r="G10" s="2" t="s">
        <v>55</v>
      </c>
      <c r="H10" s="2">
        <v>0</v>
      </c>
      <c r="I10" s="3"/>
      <c r="J10" s="2" t="str">
        <f>VLOOKUP(VLOOKUP($D10,[1]lignes_bus!$B$1:$E$200,4,0),[2]prestataires!$A$1:$F$50,2,0)</f>
        <v>Transdev Île-de-France SA</v>
      </c>
      <c r="K10" s="2" t="str">
        <f>VLOOKUP(VLOOKUP($D10,[1]lignes_bus!$B$1:$E$200,4,0),[2]prestataires!$A$1:$F$50,4,0)</f>
        <v>DSP</v>
      </c>
      <c r="L10" s="3">
        <f>VLOOKUP(VLOOKUP($D10,[1]lignes_bus!$B$1:$E$200,4,0),[2]prestataires!$A$1:$F$50,6,0)</f>
        <v>47118</v>
      </c>
      <c r="M10" s="4">
        <f t="shared" si="0"/>
        <v>1412</v>
      </c>
      <c r="N10" s="2" t="str">
        <f t="shared" si="1"/>
        <v>Suivi normal</v>
      </c>
      <c r="O10" s="2">
        <f t="shared" si="2"/>
        <v>2025</v>
      </c>
      <c r="P10" s="2" t="str">
        <f t="shared" si="3"/>
        <v>T1</v>
      </c>
    </row>
    <row r="11" spans="1:16" x14ac:dyDescent="0.3">
      <c r="A11" s="2" t="s">
        <v>56</v>
      </c>
      <c r="B11" s="3">
        <v>45754</v>
      </c>
      <c r="C11" s="2" t="s">
        <v>31</v>
      </c>
      <c r="D11" s="2" t="s">
        <v>18</v>
      </c>
      <c r="E11" s="2" t="s">
        <v>43</v>
      </c>
      <c r="F11" s="2" t="s">
        <v>20</v>
      </c>
      <c r="G11" s="2" t="s">
        <v>57</v>
      </c>
      <c r="H11" s="2">
        <v>0</v>
      </c>
      <c r="I11" s="3"/>
      <c r="J11" s="2" t="str">
        <f>VLOOKUP(VLOOKUP($D11,[1]lignes_bus!$B$1:$E$200,4,0),[2]prestataires!$A$1:$F$50,2,0)</f>
        <v>Transdev Île-de-France SA</v>
      </c>
      <c r="K11" s="2" t="str">
        <f>VLOOKUP(VLOOKUP($D11,[1]lignes_bus!$B$1:$E$200,4,0),[2]prestataires!$A$1:$F$50,4,0)</f>
        <v>DSP</v>
      </c>
      <c r="L11" s="3">
        <f>VLOOKUP(VLOOKUP($D11,[1]lignes_bus!$B$1:$E$200,4,0),[2]prestataires!$A$1:$F$50,6,0)</f>
        <v>47118</v>
      </c>
      <c r="M11" s="4">
        <f t="shared" si="0"/>
        <v>1364</v>
      </c>
      <c r="N11" s="2" t="str">
        <f t="shared" si="1"/>
        <v>Suivi normal</v>
      </c>
      <c r="O11" s="2">
        <f t="shared" si="2"/>
        <v>2025</v>
      </c>
      <c r="P11" s="2" t="str">
        <f t="shared" si="3"/>
        <v>T2</v>
      </c>
    </row>
    <row r="12" spans="1:16" x14ac:dyDescent="0.3">
      <c r="A12" s="2" t="s">
        <v>58</v>
      </c>
      <c r="B12" s="3">
        <v>45799</v>
      </c>
      <c r="C12" s="2" t="s">
        <v>37</v>
      </c>
      <c r="D12" s="2" t="s">
        <v>59</v>
      </c>
      <c r="E12" s="2" t="s">
        <v>19</v>
      </c>
      <c r="F12" s="2" t="s">
        <v>44</v>
      </c>
      <c r="G12" s="2" t="s">
        <v>60</v>
      </c>
      <c r="H12" s="2">
        <v>1</v>
      </c>
      <c r="I12" s="3">
        <v>45804</v>
      </c>
      <c r="J12" s="2" t="str">
        <f>VLOOKUP(VLOOKUP($D12,[1]lignes_bus!$B$1:$E$200,4,0),[2]prestataires!$A$1:$F$50,2,0)</f>
        <v>RATP Dev SACS</v>
      </c>
      <c r="K12" s="2" t="str">
        <f>VLOOKUP(VLOOKUP($D12,[1]lignes_bus!$B$1:$E$200,4,0),[2]prestataires!$A$1:$F$50,4,0)</f>
        <v>DSP</v>
      </c>
      <c r="L12" s="3">
        <f>VLOOKUP(VLOOKUP($D12,[1]lignes_bus!$B$1:$E$200,4,0),[2]prestataires!$A$1:$F$50,6,0)</f>
        <v>46203</v>
      </c>
      <c r="M12" s="4">
        <f t="shared" si="0"/>
        <v>404</v>
      </c>
      <c r="N12" s="2" t="str">
        <f t="shared" si="1"/>
        <v>Échéance proche</v>
      </c>
      <c r="O12" s="2">
        <f t="shared" si="2"/>
        <v>2025</v>
      </c>
      <c r="P12" s="2" t="str">
        <f t="shared" si="3"/>
        <v>T2</v>
      </c>
    </row>
    <row r="13" spans="1:16" x14ac:dyDescent="0.3">
      <c r="A13" s="2" t="s">
        <v>61</v>
      </c>
      <c r="B13" s="3">
        <v>45852</v>
      </c>
      <c r="C13" s="2" t="s">
        <v>41</v>
      </c>
      <c r="D13" s="2" t="s">
        <v>32</v>
      </c>
      <c r="E13" s="2" t="s">
        <v>38</v>
      </c>
      <c r="F13" s="2" t="s">
        <v>62</v>
      </c>
      <c r="G13" s="2" t="s">
        <v>63</v>
      </c>
      <c r="H13" s="2">
        <v>1</v>
      </c>
      <c r="I13" s="3">
        <v>45856</v>
      </c>
      <c r="J13" s="2" t="str">
        <f>VLOOKUP(VLOOKUP($D13,[1]lignes_bus!$B$1:$E$200,4,0),[2]prestataires!$A$1:$F$50,2,0)</f>
        <v>ATM Croix du Sud SARL</v>
      </c>
      <c r="K13" s="2" t="str">
        <f>VLOOKUP(VLOOKUP($D13,[1]lignes_bus!$B$1:$E$200,4,0),[2]prestataires!$A$1:$F$50,4,0)</f>
        <v>Marché public</v>
      </c>
      <c r="L13" s="3">
        <f>VLOOKUP(VLOOKUP($D13,[1]lignes_bus!$B$1:$E$200,4,0),[2]prestataires!$A$1:$F$50,6,0)</f>
        <v>45716</v>
      </c>
      <c r="M13" s="4">
        <f t="shared" si="0"/>
        <v>-136</v>
      </c>
      <c r="N13" s="2" t="str">
        <f t="shared" si="1"/>
        <v>Contrat expiré</v>
      </c>
      <c r="O13" s="2">
        <f t="shared" si="2"/>
        <v>2025</v>
      </c>
      <c r="P13" s="2" t="str">
        <f t="shared" si="3"/>
        <v>T3</v>
      </c>
    </row>
    <row r="14" spans="1:16" x14ac:dyDescent="0.3">
      <c r="A14" s="2" t="s">
        <v>64</v>
      </c>
      <c r="B14" s="3">
        <v>45897</v>
      </c>
      <c r="C14" s="2" t="s">
        <v>17</v>
      </c>
      <c r="D14" s="2" t="s">
        <v>18</v>
      </c>
      <c r="E14" s="2" t="s">
        <v>65</v>
      </c>
      <c r="F14" s="2" t="s">
        <v>34</v>
      </c>
      <c r="G14" s="2" t="s">
        <v>66</v>
      </c>
      <c r="H14" s="2">
        <v>0</v>
      </c>
      <c r="I14" s="3"/>
      <c r="J14" s="2" t="str">
        <f>VLOOKUP(VLOOKUP($D14,[1]lignes_bus!$B$1:$E$200,4,0),[2]prestataires!$A$1:$F$50,2,0)</f>
        <v>Transdev Île-de-France SA</v>
      </c>
      <c r="K14" s="2" t="str">
        <f>VLOOKUP(VLOOKUP($D14,[1]lignes_bus!$B$1:$E$200,4,0),[2]prestataires!$A$1:$F$50,4,0)</f>
        <v>DSP</v>
      </c>
      <c r="L14" s="3">
        <f>VLOOKUP(VLOOKUP($D14,[1]lignes_bus!$B$1:$E$200,4,0),[2]prestataires!$A$1:$F$50,6,0)</f>
        <v>47118</v>
      </c>
      <c r="M14" s="4">
        <f t="shared" si="0"/>
        <v>1221</v>
      </c>
      <c r="N14" s="2" t="str">
        <f t="shared" si="1"/>
        <v>Suivi normal</v>
      </c>
      <c r="O14" s="2">
        <f t="shared" si="2"/>
        <v>2025</v>
      </c>
      <c r="P14" s="2" t="str">
        <f t="shared" si="3"/>
        <v>T3</v>
      </c>
    </row>
    <row r="15" spans="1:16" x14ac:dyDescent="0.3">
      <c r="A15" s="2" t="s">
        <v>67</v>
      </c>
      <c r="B15" s="3">
        <v>45951</v>
      </c>
      <c r="C15" s="2" t="s">
        <v>23</v>
      </c>
      <c r="D15" s="2" t="s">
        <v>68</v>
      </c>
      <c r="E15" s="2" t="s">
        <v>54</v>
      </c>
      <c r="F15" s="2" t="s">
        <v>20</v>
      </c>
      <c r="G15" s="2" t="s">
        <v>69</v>
      </c>
      <c r="H15" s="2">
        <v>1</v>
      </c>
      <c r="I15" s="3">
        <v>45958</v>
      </c>
      <c r="J15" s="2" t="str">
        <f>VLOOKUP(VLOOKUP($D15,[1]lignes_bus!$B$1:$E$200,4,0),[2]prestataires!$A$1:$F$50,2,0)</f>
        <v>Keolis Île-de-France SA</v>
      </c>
      <c r="K15" s="2" t="str">
        <f>VLOOKUP(VLOOKUP($D15,[1]lignes_bus!$B$1:$E$200,4,0),[2]prestataires!$A$1:$F$50,4,0)</f>
        <v>Marché public</v>
      </c>
      <c r="L15" s="3">
        <f>VLOOKUP(VLOOKUP($D15,[1]lignes_bus!$B$1:$E$200,4,0),[2]prestataires!$A$1:$F$50,6,0)</f>
        <v>46752</v>
      </c>
      <c r="M15" s="4">
        <f t="shared" si="0"/>
        <v>801</v>
      </c>
      <c r="N15" s="2" t="str">
        <f t="shared" si="1"/>
        <v>Suivi normal</v>
      </c>
      <c r="O15" s="2">
        <f t="shared" si="2"/>
        <v>2025</v>
      </c>
      <c r="P15" s="2" t="str">
        <f t="shared" si="3"/>
        <v>T4</v>
      </c>
    </row>
    <row r="16" spans="1:16" x14ac:dyDescent="0.3">
      <c r="A16" s="2" t="s">
        <v>70</v>
      </c>
      <c r="B16" s="3">
        <v>45986</v>
      </c>
      <c r="C16" s="2" t="s">
        <v>26</v>
      </c>
      <c r="D16" s="2" t="s">
        <v>18</v>
      </c>
      <c r="E16" s="2" t="s">
        <v>19</v>
      </c>
      <c r="F16" s="2" t="s">
        <v>28</v>
      </c>
      <c r="G16" s="2" t="s">
        <v>71</v>
      </c>
      <c r="H16" s="2">
        <v>0</v>
      </c>
      <c r="I16" s="3"/>
      <c r="J16" s="2" t="str">
        <f>VLOOKUP(VLOOKUP($D16,[1]lignes_bus!$B$1:$E$200,4,0),[2]prestataires!$A$1:$F$50,2,0)</f>
        <v>Transdev Île-de-France SA</v>
      </c>
      <c r="K16" s="2" t="str">
        <f>VLOOKUP(VLOOKUP($D16,[1]lignes_bus!$B$1:$E$200,4,0),[2]prestataires!$A$1:$F$50,4,0)</f>
        <v>DSP</v>
      </c>
      <c r="L16" s="3">
        <f>VLOOKUP(VLOOKUP($D16,[1]lignes_bus!$B$1:$E$200,4,0),[2]prestataires!$A$1:$F$50,6,0)</f>
        <v>47118</v>
      </c>
      <c r="M16" s="4">
        <f t="shared" si="0"/>
        <v>1132</v>
      </c>
      <c r="N16" s="2" t="str">
        <f t="shared" si="1"/>
        <v>Suivi normal</v>
      </c>
      <c r="O16" s="2">
        <f t="shared" si="2"/>
        <v>2025</v>
      </c>
      <c r="P16" s="2" t="str">
        <f t="shared" si="3"/>
        <v>T4</v>
      </c>
    </row>
    <row r="17" spans="1:16" x14ac:dyDescent="0.3">
      <c r="A17" s="2" t="s">
        <v>72</v>
      </c>
      <c r="B17" s="3">
        <v>46037</v>
      </c>
      <c r="C17" s="2" t="s">
        <v>31</v>
      </c>
      <c r="D17" s="2" t="s">
        <v>42</v>
      </c>
      <c r="E17" s="2" t="s">
        <v>73</v>
      </c>
      <c r="F17" s="2" t="s">
        <v>47</v>
      </c>
      <c r="G17" s="2" t="s">
        <v>74</v>
      </c>
      <c r="H17" s="2">
        <v>1</v>
      </c>
      <c r="I17" s="3">
        <v>46042</v>
      </c>
      <c r="J17" s="2" t="str">
        <f>VLOOKUP(VLOOKUP($D17,[1]lignes_bus!$B$1:$E$200,4,0),[2]prestataires!$A$1:$F$50,2,0)</f>
        <v>ATM Croix du Sud SARL</v>
      </c>
      <c r="K17" s="2" t="str">
        <f>VLOOKUP(VLOOKUP($D17,[1]lignes_bus!$B$1:$E$200,4,0),[2]prestataires!$A$1:$F$50,4,0)</f>
        <v>Marché public</v>
      </c>
      <c r="L17" s="3">
        <f>VLOOKUP(VLOOKUP($D17,[1]lignes_bus!$B$1:$E$200,4,0),[2]prestataires!$A$1:$F$50,6,0)</f>
        <v>45716</v>
      </c>
      <c r="M17" s="4">
        <f t="shared" si="0"/>
        <v>-321</v>
      </c>
      <c r="N17" s="2" t="str">
        <f t="shared" si="1"/>
        <v>Contrat expiré</v>
      </c>
      <c r="O17" s="2">
        <f t="shared" si="2"/>
        <v>2026</v>
      </c>
      <c r="P17" s="2" t="str">
        <f t="shared" si="3"/>
        <v>T1</v>
      </c>
    </row>
    <row r="18" spans="1:16" x14ac:dyDescent="0.3">
      <c r="A18" s="2" t="s">
        <v>75</v>
      </c>
      <c r="B18" s="3">
        <v>46057</v>
      </c>
      <c r="C18" s="2" t="s">
        <v>37</v>
      </c>
      <c r="D18" s="2" t="s">
        <v>76</v>
      </c>
      <c r="E18" s="2" t="s">
        <v>43</v>
      </c>
      <c r="F18" s="2" t="s">
        <v>20</v>
      </c>
      <c r="G18" s="2" t="s">
        <v>77</v>
      </c>
      <c r="H18" s="2">
        <v>0</v>
      </c>
      <c r="I18" s="3"/>
      <c r="J18" s="2" t="str">
        <f>VLOOKUP(VLOOKUP($D18,[1]lignes_bus!$B$1:$E$200,4,0),[2]prestataires!$A$1:$F$50,2,0)</f>
        <v>Keolis Île-de-France SA</v>
      </c>
      <c r="K18" s="2" t="str">
        <f>VLOOKUP(VLOOKUP($D18,[1]lignes_bus!$B$1:$E$200,4,0),[2]prestataires!$A$1:$F$50,4,0)</f>
        <v>Marché public</v>
      </c>
      <c r="L18" s="3">
        <f>VLOOKUP(VLOOKUP($D18,[1]lignes_bus!$B$1:$E$200,4,0),[2]prestataires!$A$1:$F$50,6,0)</f>
        <v>46752</v>
      </c>
      <c r="M18" s="4">
        <f t="shared" si="0"/>
        <v>695</v>
      </c>
      <c r="N18" s="2" t="str">
        <f t="shared" si="1"/>
        <v>Suivi normal</v>
      </c>
      <c r="O18" s="2">
        <f t="shared" si="2"/>
        <v>2026</v>
      </c>
      <c r="P18" s="2" t="str">
        <f t="shared" si="3"/>
        <v>T1</v>
      </c>
    </row>
    <row r="19" spans="1:16" x14ac:dyDescent="0.3">
      <c r="A19" s="2" t="s">
        <v>78</v>
      </c>
      <c r="B19" s="3">
        <v>46089</v>
      </c>
      <c r="C19" s="2" t="s">
        <v>41</v>
      </c>
      <c r="D19" s="2" t="s">
        <v>27</v>
      </c>
      <c r="E19" s="2" t="s">
        <v>38</v>
      </c>
      <c r="F19" s="2" t="s">
        <v>44</v>
      </c>
      <c r="G19" s="2" t="s">
        <v>79</v>
      </c>
      <c r="H19" s="2">
        <v>1</v>
      </c>
      <c r="I19" s="3">
        <v>46093</v>
      </c>
      <c r="J19" s="2" t="str">
        <f>VLOOKUP(VLOOKUP($D19,[1]lignes_bus!$B$1:$E$200,4,0),[2]prestataires!$A$1:$F$50,2,0)</f>
        <v>Transdev Île-de-France SA</v>
      </c>
      <c r="K19" s="2" t="str">
        <f>VLOOKUP(VLOOKUP($D19,[1]lignes_bus!$B$1:$E$200,4,0),[2]prestataires!$A$1:$F$50,4,0)</f>
        <v>DSP</v>
      </c>
      <c r="L19" s="3">
        <f>VLOOKUP(VLOOKUP($D19,[1]lignes_bus!$B$1:$E$200,4,0),[2]prestataires!$A$1:$F$50,6,0)</f>
        <v>47118</v>
      </c>
      <c r="M19" s="4">
        <f t="shared" si="0"/>
        <v>1029</v>
      </c>
      <c r="N19" s="2" t="str">
        <f t="shared" si="1"/>
        <v>Suivi normal</v>
      </c>
      <c r="O19" s="2">
        <f t="shared" si="2"/>
        <v>2026</v>
      </c>
      <c r="P19" s="2" t="str">
        <f t="shared" si="3"/>
        <v>T1</v>
      </c>
    </row>
    <row r="20" spans="1:16" x14ac:dyDescent="0.3">
      <c r="A20" s="2" t="s">
        <v>80</v>
      </c>
      <c r="B20" s="3">
        <v>46124</v>
      </c>
      <c r="C20" s="2" t="s">
        <v>17</v>
      </c>
      <c r="D20" s="2" t="s">
        <v>18</v>
      </c>
      <c r="E20" s="2" t="s">
        <v>43</v>
      </c>
      <c r="F20" s="2" t="s">
        <v>20</v>
      </c>
      <c r="G20" s="2" t="s">
        <v>81</v>
      </c>
      <c r="H20" s="2">
        <v>0</v>
      </c>
      <c r="I20" s="3"/>
      <c r="J20" s="2" t="str">
        <f>VLOOKUP(VLOOKUP($D20,[1]lignes_bus!$B$1:$E$200,4,0),[2]prestataires!$A$1:$F$50,2,0)</f>
        <v>Transdev Île-de-France SA</v>
      </c>
      <c r="K20" s="2" t="str">
        <f>VLOOKUP(VLOOKUP($D20,[1]lignes_bus!$B$1:$E$200,4,0),[2]prestataires!$A$1:$F$50,4,0)</f>
        <v>DSP</v>
      </c>
      <c r="L20" s="3">
        <f>VLOOKUP(VLOOKUP($D20,[1]lignes_bus!$B$1:$E$200,4,0),[2]prestataires!$A$1:$F$50,6,0)</f>
        <v>47118</v>
      </c>
      <c r="M20" s="4">
        <f t="shared" si="0"/>
        <v>994</v>
      </c>
      <c r="N20" s="2" t="str">
        <f t="shared" si="1"/>
        <v>Suivi normal</v>
      </c>
      <c r="O20" s="2">
        <f t="shared" si="2"/>
        <v>2026</v>
      </c>
      <c r="P20" s="2" t="str">
        <f t="shared" si="3"/>
        <v>T2</v>
      </c>
    </row>
    <row r="21" spans="1:16" x14ac:dyDescent="0.3">
      <c r="A21" s="2" t="s">
        <v>82</v>
      </c>
      <c r="B21" s="3">
        <v>46148</v>
      </c>
      <c r="C21" s="2" t="s">
        <v>23</v>
      </c>
      <c r="D21" s="2" t="s">
        <v>50</v>
      </c>
      <c r="E21" s="2" t="s">
        <v>33</v>
      </c>
      <c r="F21" s="2" t="s">
        <v>34</v>
      </c>
      <c r="G21" s="2" t="s">
        <v>83</v>
      </c>
      <c r="H21" s="2">
        <v>1</v>
      </c>
      <c r="I21" s="3">
        <v>46153</v>
      </c>
      <c r="J21" s="2" t="str">
        <f>VLOOKUP(VLOOKUP($D21,[1]lignes_bus!$B$1:$E$200,4,0),[2]prestataires!$A$1:$F$50,2,0)</f>
        <v>RATP Dev SACS</v>
      </c>
      <c r="K21" s="2" t="str">
        <f>VLOOKUP(VLOOKUP($D21,[1]lignes_bus!$B$1:$E$200,4,0),[2]prestataires!$A$1:$F$50,4,0)</f>
        <v>DSP</v>
      </c>
      <c r="L21" s="3">
        <f>VLOOKUP(VLOOKUP($D21,[1]lignes_bus!$B$1:$E$200,4,0),[2]prestataires!$A$1:$F$50,6,0)</f>
        <v>46203</v>
      </c>
      <c r="M21" s="4">
        <f t="shared" si="0"/>
        <v>55</v>
      </c>
      <c r="N21" s="2" t="str">
        <f t="shared" si="1"/>
        <v>Échéance proche</v>
      </c>
      <c r="O21" s="2">
        <f t="shared" si="2"/>
        <v>2026</v>
      </c>
      <c r="P21" s="2" t="str">
        <f t="shared" si="3"/>
        <v>T2</v>
      </c>
    </row>
    <row r="22" spans="1:16" x14ac:dyDescent="0.3">
      <c r="A22" s="2" t="s">
        <v>84</v>
      </c>
      <c r="B22" s="3">
        <v>46161</v>
      </c>
      <c r="C22" s="2" t="s">
        <v>26</v>
      </c>
      <c r="D22" s="2" t="s">
        <v>59</v>
      </c>
      <c r="E22" s="2" t="s">
        <v>73</v>
      </c>
      <c r="F22" s="2" t="s">
        <v>62</v>
      </c>
      <c r="G22" s="2" t="s">
        <v>85</v>
      </c>
      <c r="H22" s="2">
        <v>0</v>
      </c>
      <c r="I22" s="3"/>
      <c r="J22" s="2" t="str">
        <f>VLOOKUP(VLOOKUP($D22,[1]lignes_bus!$B$1:$E$200,4,0),[2]prestataires!$A$1:$F$50,2,0)</f>
        <v>RATP Dev SACS</v>
      </c>
      <c r="K22" s="2" t="str">
        <f>VLOOKUP(VLOOKUP($D22,[1]lignes_bus!$B$1:$E$200,4,0),[2]prestataires!$A$1:$F$50,4,0)</f>
        <v>DSP</v>
      </c>
      <c r="L22" s="3">
        <f>VLOOKUP(VLOOKUP($D22,[1]lignes_bus!$B$1:$E$200,4,0),[2]prestataires!$A$1:$F$50,6,0)</f>
        <v>46203</v>
      </c>
      <c r="M22" s="4">
        <f t="shared" si="0"/>
        <v>42</v>
      </c>
      <c r="N22" s="2" t="str">
        <f t="shared" si="1"/>
        <v>Échéance proche</v>
      </c>
      <c r="O22" s="2">
        <f t="shared" si="2"/>
        <v>2026</v>
      </c>
      <c r="P22" s="2" t="str">
        <f t="shared" si="3"/>
        <v>T2</v>
      </c>
    </row>
    <row r="23" spans="1:16" x14ac:dyDescent="0.3">
      <c r="A23" s="2" t="s">
        <v>86</v>
      </c>
      <c r="B23" s="3">
        <v>46175</v>
      </c>
      <c r="C23" s="2" t="s">
        <v>31</v>
      </c>
      <c r="D23" s="2" t="s">
        <v>18</v>
      </c>
      <c r="E23" s="2" t="s">
        <v>38</v>
      </c>
      <c r="F23" s="2" t="s">
        <v>28</v>
      </c>
      <c r="G23" s="2" t="s">
        <v>87</v>
      </c>
      <c r="H23" s="2">
        <v>1</v>
      </c>
      <c r="I23" s="3">
        <v>46178</v>
      </c>
      <c r="J23" s="2" t="str">
        <f>VLOOKUP(VLOOKUP($D23,[1]lignes_bus!$B$1:$E$200,4,0),[2]prestataires!$A$1:$F$50,2,0)</f>
        <v>Transdev Île-de-France SA</v>
      </c>
      <c r="K23" s="2" t="str">
        <f>VLOOKUP(VLOOKUP($D23,[1]lignes_bus!$B$1:$E$200,4,0),[2]prestataires!$A$1:$F$50,4,0)</f>
        <v>DSP</v>
      </c>
      <c r="L23" s="3">
        <f>VLOOKUP(VLOOKUP($D23,[1]lignes_bus!$B$1:$E$200,4,0),[2]prestataires!$A$1:$F$50,6,0)</f>
        <v>47118</v>
      </c>
      <c r="M23" s="4">
        <f t="shared" si="0"/>
        <v>943</v>
      </c>
      <c r="N23" s="2" t="str">
        <f t="shared" si="1"/>
        <v>Suivi normal</v>
      </c>
      <c r="O23" s="2">
        <f t="shared" si="2"/>
        <v>2026</v>
      </c>
      <c r="P23" s="2" t="str">
        <f t="shared" si="3"/>
        <v>T2</v>
      </c>
    </row>
    <row r="24" spans="1:16" x14ac:dyDescent="0.3">
      <c r="A24" s="2" t="s">
        <v>88</v>
      </c>
      <c r="B24" s="3">
        <v>46096</v>
      </c>
      <c r="C24" s="2" t="s">
        <v>23</v>
      </c>
      <c r="D24" s="2" t="s">
        <v>18</v>
      </c>
      <c r="E24" s="2" t="s">
        <v>51</v>
      </c>
      <c r="F24" s="2" t="s">
        <v>20</v>
      </c>
      <c r="G24" s="2" t="s">
        <v>89</v>
      </c>
      <c r="H24" s="2">
        <v>0</v>
      </c>
      <c r="I24" s="3"/>
      <c r="J24" s="2" t="str">
        <f>VLOOKUP(VLOOKUP($D24,[1]lignes_bus!$B$1:$E$200,4,0),[2]prestataires!$A$1:$F$50,2,0)</f>
        <v>Transdev Île-de-France SA</v>
      </c>
      <c r="K24" s="2" t="str">
        <f>VLOOKUP(VLOOKUP($D24,[1]lignes_bus!$B$1:$E$200,4,0),[2]prestataires!$A$1:$F$50,4,0)</f>
        <v>DSP</v>
      </c>
      <c r="L24" s="3">
        <f>VLOOKUP(VLOOKUP($D24,[1]lignes_bus!$B$1:$E$200,4,0),[2]prestataires!$A$1:$F$50,6,0)</f>
        <v>47118</v>
      </c>
      <c r="M24" s="4">
        <f t="shared" si="0"/>
        <v>1022</v>
      </c>
      <c r="N24" s="2" t="str">
        <f t="shared" si="1"/>
        <v>Suivi normal</v>
      </c>
      <c r="O24" s="2">
        <f t="shared" si="2"/>
        <v>2026</v>
      </c>
      <c r="P24" s="2" t="str">
        <f t="shared" si="3"/>
        <v>T1</v>
      </c>
    </row>
    <row r="25" spans="1:16" x14ac:dyDescent="0.3">
      <c r="A25" s="2" t="s">
        <v>90</v>
      </c>
      <c r="B25" s="3">
        <v>46132</v>
      </c>
      <c r="C25" s="2" t="s">
        <v>17</v>
      </c>
      <c r="D25" s="2" t="s">
        <v>59</v>
      </c>
      <c r="E25" s="2" t="s">
        <v>54</v>
      </c>
      <c r="F25" s="2" t="s">
        <v>44</v>
      </c>
      <c r="G25" s="2" t="s">
        <v>91</v>
      </c>
      <c r="H25" s="2">
        <v>1</v>
      </c>
      <c r="I25" s="3">
        <v>46137</v>
      </c>
      <c r="J25" s="2" t="str">
        <f>VLOOKUP(VLOOKUP($D25,[1]lignes_bus!$B$1:$E$200,4,0),[2]prestataires!$A$1:$F$50,2,0)</f>
        <v>RATP Dev SACS</v>
      </c>
      <c r="K25" s="2" t="str">
        <f>VLOOKUP(VLOOKUP($D25,[1]lignes_bus!$B$1:$E$200,4,0),[2]prestataires!$A$1:$F$50,4,0)</f>
        <v>DSP</v>
      </c>
      <c r="L25" s="3">
        <f>VLOOKUP(VLOOKUP($D25,[1]lignes_bus!$B$1:$E$200,4,0),[2]prestataires!$A$1:$F$50,6,0)</f>
        <v>46203</v>
      </c>
      <c r="M25" s="4">
        <f t="shared" si="0"/>
        <v>71</v>
      </c>
      <c r="N25" s="2" t="str">
        <f t="shared" si="1"/>
        <v>Échéance proche</v>
      </c>
      <c r="O25" s="2">
        <f t="shared" si="2"/>
        <v>2026</v>
      </c>
      <c r="P25" s="2" t="str">
        <f t="shared" si="3"/>
        <v>T2</v>
      </c>
    </row>
    <row r="26" spans="1:16" x14ac:dyDescent="0.3">
      <c r="A26" s="2" t="s">
        <v>92</v>
      </c>
      <c r="B26" s="3">
        <v>46152</v>
      </c>
      <c r="C26" s="2" t="s">
        <v>37</v>
      </c>
      <c r="D26" s="2" t="s">
        <v>42</v>
      </c>
      <c r="E26" s="2" t="s">
        <v>73</v>
      </c>
      <c r="F26" s="2" t="s">
        <v>20</v>
      </c>
      <c r="G26" s="2" t="s">
        <v>93</v>
      </c>
      <c r="H26" s="2">
        <v>1</v>
      </c>
      <c r="I26" s="3">
        <v>46144</v>
      </c>
      <c r="J26" s="2" t="str">
        <f>VLOOKUP(VLOOKUP($D26,[1]lignes_bus!$B$1:$E$200,4,0),[2]prestataires!$A$1:$F$50,2,0)</f>
        <v>ATM Croix du Sud SARL</v>
      </c>
      <c r="K26" s="2" t="str">
        <f>VLOOKUP(VLOOKUP($D26,[1]lignes_bus!$B$1:$E$200,4,0),[2]prestataires!$A$1:$F$50,4,0)</f>
        <v>Marché public</v>
      </c>
      <c r="L26" s="3">
        <f>VLOOKUP(VLOOKUP($D26,[1]lignes_bus!$B$1:$E$200,4,0),[2]prestataires!$A$1:$F$50,6,0)</f>
        <v>45716</v>
      </c>
      <c r="M26" s="4">
        <f t="shared" si="0"/>
        <v>-436</v>
      </c>
      <c r="N26" s="2" t="str">
        <f t="shared" si="1"/>
        <v>Contrat expiré</v>
      </c>
      <c r="O26" s="2">
        <f t="shared" si="2"/>
        <v>2026</v>
      </c>
      <c r="P26" s="2" t="str">
        <f t="shared" si="3"/>
        <v>T2</v>
      </c>
    </row>
    <row r="27" spans="1:16" x14ac:dyDescent="0.3">
      <c r="A27" s="2" t="s">
        <v>94</v>
      </c>
      <c r="B27" s="3">
        <v>46631</v>
      </c>
      <c r="C27" s="2" t="s">
        <v>31</v>
      </c>
      <c r="D27" s="2" t="s">
        <v>27</v>
      </c>
      <c r="E27" s="2" t="s">
        <v>19</v>
      </c>
      <c r="F27" s="2" t="s">
        <v>28</v>
      </c>
      <c r="G27" s="2" t="s">
        <v>95</v>
      </c>
      <c r="H27" s="2">
        <v>0</v>
      </c>
      <c r="I27" s="3"/>
      <c r="J27" s="2" t="str">
        <f>VLOOKUP(VLOOKUP($D27,[1]lignes_bus!$B$1:$E$200,4,0),[2]prestataires!$A$1:$F$50,2,0)</f>
        <v>Transdev Île-de-France SA</v>
      </c>
      <c r="K27" s="2" t="str">
        <f>VLOOKUP(VLOOKUP($D27,[1]lignes_bus!$B$1:$E$200,4,0),[2]prestataires!$A$1:$F$50,4,0)</f>
        <v>DSP</v>
      </c>
      <c r="L27" s="3">
        <f>VLOOKUP(VLOOKUP($D27,[1]lignes_bus!$B$1:$E$200,4,0),[2]prestataires!$A$1:$F$50,6,0)</f>
        <v>47118</v>
      </c>
      <c r="M27" s="4">
        <f t="shared" si="0"/>
        <v>487</v>
      </c>
      <c r="N27" s="2" t="str">
        <f t="shared" si="1"/>
        <v>Échéance proche</v>
      </c>
      <c r="O27" s="2">
        <f t="shared" si="2"/>
        <v>2027</v>
      </c>
      <c r="P27" s="2" t="str">
        <f t="shared" si="3"/>
        <v>T3</v>
      </c>
    </row>
  </sheetData>
  <dataValidations disablePrompts="1" count="4">
    <dataValidation type="list" allowBlank="1" sqref="C2:C27" xr:uid="{00000000-0002-0000-0000-000000000000}">
      <formula1>L_CANAL</formula1>
      <formula2>0</formula2>
    </dataValidation>
    <dataValidation type="list" allowBlank="1" sqref="F2:F27" xr:uid="{00000000-0002-0000-0000-000001000000}">
      <formula1>L_MOTIF</formula1>
      <formula2>0</formula2>
    </dataValidation>
    <dataValidation type="list" allowBlank="1" sqref="D2:D27" xr:uid="{00000000-0002-0000-0000-000002000000}">
      <formula1>L_NUM</formula1>
      <formula2>0</formula2>
    </dataValidation>
    <dataValidation type="list" allowBlank="1" sqref="H2:H27" xr:uid="{00000000-0002-0000-0000-000003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zoomScaleNormal="100" workbookViewId="0">
      <selection activeCell="D16" sqref="D16"/>
    </sheetView>
  </sheetViews>
  <sheetFormatPr baseColWidth="10" defaultColWidth="8.5546875" defaultRowHeight="14.4" x14ac:dyDescent="0.3"/>
  <cols>
    <col min="1" max="1" width="20" customWidth="1"/>
    <col min="2" max="2" width="36.5546875" customWidth="1"/>
    <col min="3" max="3" width="20" customWidth="1"/>
  </cols>
  <sheetData>
    <row r="1" spans="1:3" x14ac:dyDescent="0.3">
      <c r="A1" s="1" t="s">
        <v>96</v>
      </c>
      <c r="B1" s="1" t="s">
        <v>97</v>
      </c>
      <c r="C1" s="1" t="s">
        <v>98</v>
      </c>
    </row>
    <row r="2" spans="1:3" x14ac:dyDescent="0.3">
      <c r="A2" s="2" t="s">
        <v>31</v>
      </c>
      <c r="B2" s="2" t="s">
        <v>47</v>
      </c>
      <c r="C2" t="str">
        <f>IF([1]lignes_bus!B2=0,"",[1]lignes_bus!B2)</f>
        <v>169</v>
      </c>
    </row>
    <row r="3" spans="1:3" x14ac:dyDescent="0.3">
      <c r="A3" s="2" t="s">
        <v>23</v>
      </c>
      <c r="B3" s="2" t="s">
        <v>44</v>
      </c>
      <c r="C3" t="str">
        <f>IF([1]lignes_bus!B3=0,"",[1]lignes_bus!B3)</f>
        <v>323</v>
      </c>
    </row>
    <row r="4" spans="1:3" x14ac:dyDescent="0.3">
      <c r="A4" s="2" t="s">
        <v>26</v>
      </c>
      <c r="B4" s="2" t="s">
        <v>34</v>
      </c>
      <c r="C4" t="str">
        <f>IF([1]lignes_bus!B4=0,"",[1]lignes_bus!B4)</f>
        <v>389</v>
      </c>
    </row>
    <row r="5" spans="1:3" x14ac:dyDescent="0.3">
      <c r="A5" s="2" t="s">
        <v>37</v>
      </c>
      <c r="B5" s="2" t="s">
        <v>62</v>
      </c>
      <c r="C5" t="str">
        <f>IF([1]lignes_bus!B5=0,"",[1]lignes_bus!B5)</f>
        <v>290</v>
      </c>
    </row>
    <row r="6" spans="1:3" x14ac:dyDescent="0.3">
      <c r="A6" s="2" t="s">
        <v>41</v>
      </c>
      <c r="B6" s="2" t="s">
        <v>20</v>
      </c>
      <c r="C6" t="str">
        <f>IF([1]lignes_bus!B6=0,"",[1]lignes_bus!B6)</f>
        <v>58</v>
      </c>
    </row>
    <row r="7" spans="1:3" x14ac:dyDescent="0.3">
      <c r="A7" s="2" t="s">
        <v>17</v>
      </c>
      <c r="B7" s="2" t="s">
        <v>28</v>
      </c>
      <c r="C7" t="str">
        <f>IF([1]lignes_bus!B7=0,"",[1]lignes_bus!B7)</f>
        <v>N118</v>
      </c>
    </row>
    <row r="8" spans="1:3" x14ac:dyDescent="0.3">
      <c r="C8" t="str">
        <f>IF([1]lignes_bus!B8=0,"",[1]lignes_bus!B8)</f>
        <v>291</v>
      </c>
    </row>
    <row r="9" spans="1:3" x14ac:dyDescent="0.3">
      <c r="C9" t="str">
        <f>IF([1]lignes_bus!B9=0,"",[1]lignes_bus!B9)</f>
        <v>289</v>
      </c>
    </row>
    <row r="10" spans="1:3" x14ac:dyDescent="0.3">
      <c r="C10" t="str">
        <f>IF([1]lignes_bus!B10=0,"",[1]lignes_bus!B10)</f>
        <v/>
      </c>
    </row>
    <row r="11" spans="1:3" x14ac:dyDescent="0.3">
      <c r="C11" t="str">
        <f>IF([1]lignes_bus!B11=0,"",[1]lignes_bus!B11)</f>
        <v/>
      </c>
    </row>
    <row r="12" spans="1:3" x14ac:dyDescent="0.3">
      <c r="C12" t="str">
        <f>IF([1]lignes_bus!B12=0,"",[1]lignes_bus!B12)</f>
        <v/>
      </c>
    </row>
    <row r="13" spans="1:3" x14ac:dyDescent="0.3">
      <c r="C13" t="str">
        <f>IF([1]lignes_bus!B13=0,"",[1]lignes_bus!B13)</f>
        <v/>
      </c>
    </row>
    <row r="14" spans="1:3" x14ac:dyDescent="0.3">
      <c r="C14" t="str">
        <f>IF([1]lignes_bus!B14=0,"",[1]lignes_bus!B14)</f>
        <v/>
      </c>
    </row>
    <row r="15" spans="1:3" x14ac:dyDescent="0.3">
      <c r="C15" t="str">
        <f>IF([1]lignes_bus!B15=0,"",[1]lignes_bus!B15)</f>
        <v/>
      </c>
    </row>
    <row r="16" spans="1:3" x14ac:dyDescent="0.3">
      <c r="C16" t="str">
        <f>IF([1]lignes_bus!B16=0,"",[1]lignes_bus!B16)</f>
        <v/>
      </c>
    </row>
    <row r="17" spans="3:3" x14ac:dyDescent="0.3">
      <c r="C17" t="str">
        <f>IF([1]lignes_bus!B17=0,"",[1]lignes_bus!B17)</f>
        <v/>
      </c>
    </row>
    <row r="18" spans="3:3" x14ac:dyDescent="0.3">
      <c r="C18" t="str">
        <f>IF([1]lignes_bus!B18=0,"",[1]lignes_bus!B18)</f>
        <v/>
      </c>
    </row>
    <row r="19" spans="3:3" x14ac:dyDescent="0.3">
      <c r="C19" t="str">
        <f>IF([1]lignes_bus!B19=0,"",[1]lignes_bus!B19)</f>
        <v/>
      </c>
    </row>
    <row r="20" spans="3:3" x14ac:dyDescent="0.3">
      <c r="C20" t="str">
        <f>IF([1]lignes_bus!B20=0,"",[1]lignes_bus!B20)</f>
        <v/>
      </c>
    </row>
    <row r="21" spans="3:3" x14ac:dyDescent="0.3">
      <c r="C21" t="str">
        <f>IF([1]lignes_bus!B21=0,"",[1]lignes_bus!B21)</f>
        <v/>
      </c>
    </row>
    <row r="22" spans="3:3" x14ac:dyDescent="0.3">
      <c r="C22" t="str">
        <f>IF([1]lignes_bus!B22=0,"",[1]lignes_bus!B22)</f>
        <v/>
      </c>
    </row>
    <row r="23" spans="3:3" x14ac:dyDescent="0.3">
      <c r="C23" t="str">
        <f>IF([1]lignes_bus!B23=0,"",[1]lignes_bus!B23)</f>
        <v/>
      </c>
    </row>
    <row r="24" spans="3:3" x14ac:dyDescent="0.3">
      <c r="C24" t="str">
        <f>IF([1]lignes_bus!B24=0,"",[1]lignes_bus!B24)</f>
        <v/>
      </c>
    </row>
    <row r="25" spans="3:3" x14ac:dyDescent="0.3">
      <c r="C25" t="str">
        <f>IF([1]lignes_bus!B25=0,"",[1]lignes_bus!B25)</f>
        <v/>
      </c>
    </row>
    <row r="26" spans="3:3" x14ac:dyDescent="0.3">
      <c r="C26" t="str">
        <f>IF([1]lignes_bus!B26=0,"",[1]lignes_bus!B26)</f>
        <v/>
      </c>
    </row>
    <row r="27" spans="3:3" x14ac:dyDescent="0.3">
      <c r="C27" t="str">
        <f>IF([1]lignes_bus!B27=0,"",[1]lignes_bus!B27)</f>
        <v/>
      </c>
    </row>
    <row r="28" spans="3:3" x14ac:dyDescent="0.3">
      <c r="C28" t="str">
        <f>IF([1]lignes_bus!B28=0,"",[1]lignes_bus!B28)</f>
        <v/>
      </c>
    </row>
    <row r="29" spans="3:3" x14ac:dyDescent="0.3">
      <c r="C29" t="str">
        <f>IF([1]lignes_bus!B29=0,"",[1]lignes_bus!B29)</f>
        <v/>
      </c>
    </row>
    <row r="30" spans="3:3" x14ac:dyDescent="0.3">
      <c r="C30" t="str">
        <f>IF([1]lignes_bus!B30=0,"",[1]lignes_bus!B30)</f>
        <v/>
      </c>
    </row>
    <row r="31" spans="3:3" x14ac:dyDescent="0.3">
      <c r="C31" t="str">
        <f>IF([1]lignes_bus!B31=0,"",[1]lignes_bus!B31)</f>
        <v/>
      </c>
    </row>
    <row r="32" spans="3:3" x14ac:dyDescent="0.3">
      <c r="C32" t="str">
        <f>IF([1]lignes_bus!B32=0,"",[1]lignes_bus!B32)</f>
        <v/>
      </c>
    </row>
    <row r="33" spans="3:3" x14ac:dyDescent="0.3">
      <c r="C33" t="str">
        <f>IF([1]lignes_bus!B33=0,"",[1]lignes_bus!B33)</f>
        <v/>
      </c>
    </row>
    <row r="34" spans="3:3" x14ac:dyDescent="0.3">
      <c r="C34" t="str">
        <f>IF([1]lignes_bus!B34=0,"",[1]lignes_bus!B34)</f>
        <v/>
      </c>
    </row>
    <row r="35" spans="3:3" x14ac:dyDescent="0.3">
      <c r="C35" t="str">
        <f>IF([1]lignes_bus!B35=0,"",[1]lignes_bus!B35)</f>
        <v/>
      </c>
    </row>
    <row r="36" spans="3:3" x14ac:dyDescent="0.3">
      <c r="C36" t="str">
        <f>IF([1]lignes_bus!B36=0,"",[1]lignes_bus!B36)</f>
        <v/>
      </c>
    </row>
    <row r="37" spans="3:3" x14ac:dyDescent="0.3">
      <c r="C37" t="str">
        <f>IF([1]lignes_bus!B37=0,"",[1]lignes_bus!B37)</f>
        <v/>
      </c>
    </row>
    <row r="38" spans="3:3" x14ac:dyDescent="0.3">
      <c r="C38" t="str">
        <f>IF([1]lignes_bus!B38=0,"",[1]lignes_bus!B38)</f>
        <v/>
      </c>
    </row>
    <row r="39" spans="3:3" x14ac:dyDescent="0.3">
      <c r="C39" t="str">
        <f>IF([1]lignes_bus!B39=0,"",[1]lignes_bus!B39)</f>
        <v/>
      </c>
    </row>
    <row r="40" spans="3:3" x14ac:dyDescent="0.3">
      <c r="C40" t="str">
        <f>IF([1]lignes_bus!B40=0,"",[1]lignes_bus!B40)</f>
        <v/>
      </c>
    </row>
    <row r="41" spans="3:3" x14ac:dyDescent="0.3">
      <c r="C41" t="str">
        <f>IF([1]lignes_bus!B41=0,"",[1]lignes_bus!B41)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showGridLines="0" tabSelected="1" zoomScaleNormal="100" workbookViewId="0">
      <selection activeCell="A10" sqref="A10:B10"/>
    </sheetView>
  </sheetViews>
  <sheetFormatPr baseColWidth="10" defaultColWidth="8.5546875" defaultRowHeight="14.4" x14ac:dyDescent="0.3"/>
  <cols>
    <col min="1" max="1" width="23.5546875" bestFit="1" customWidth="1"/>
    <col min="2" max="2" width="22.44140625" bestFit="1" customWidth="1"/>
    <col min="3" max="3" width="4" bestFit="1" customWidth="1"/>
    <col min="4" max="4" width="24.5546875" bestFit="1" customWidth="1"/>
    <col min="5" max="5" width="22.44140625" bestFit="1" customWidth="1"/>
    <col min="6" max="6" width="23.5546875" customWidth="1"/>
    <col min="7" max="7" width="4" bestFit="1" customWidth="1"/>
    <col min="8" max="8" width="3" customWidth="1"/>
    <col min="9" max="9" width="30.77734375" customWidth="1"/>
    <col min="10" max="11" width="21.44140625" customWidth="1"/>
    <col min="12" max="12" width="25.6640625" customWidth="1"/>
    <col min="13" max="13" width="55.33203125" customWidth="1"/>
    <col min="14" max="14" width="2" bestFit="1" customWidth="1"/>
  </cols>
  <sheetData>
    <row r="1" spans="1:14" ht="24.6" customHeight="1" x14ac:dyDescent="0.3">
      <c r="A1" s="8" t="s">
        <v>99</v>
      </c>
      <c r="B1" s="8"/>
      <c r="C1" s="8"/>
      <c r="D1" s="8"/>
      <c r="E1" s="8"/>
      <c r="F1" s="8"/>
    </row>
    <row r="2" spans="1:14" ht="15" customHeight="1" x14ac:dyDescent="0.3">
      <c r="A2" s="9" t="s">
        <v>100</v>
      </c>
      <c r="B2" s="9"/>
      <c r="C2" s="9"/>
      <c r="D2" s="9"/>
      <c r="E2" s="9"/>
      <c r="F2" s="9"/>
      <c r="N2">
        <f>COUNTIF(reclamations!$D$2:$D$27,$M2)</f>
        <v>0</v>
      </c>
    </row>
    <row r="3" spans="1:14" x14ac:dyDescent="0.3">
      <c r="N3">
        <f>COUNTIF(reclamations!$D$2:$D$27,$M3)</f>
        <v>0</v>
      </c>
    </row>
    <row r="4" spans="1:14" ht="15" customHeight="1" x14ac:dyDescent="0.3">
      <c r="A4" s="10" t="s">
        <v>101</v>
      </c>
      <c r="B4" s="10"/>
      <c r="C4" s="10"/>
      <c r="D4" s="10"/>
      <c r="E4" s="10"/>
      <c r="F4" s="10"/>
      <c r="N4">
        <f>COUNTIF(reclamations!$D$2:$D$27,$M4)</f>
        <v>0</v>
      </c>
    </row>
    <row r="5" spans="1:14" ht="33.6" x14ac:dyDescent="0.3">
      <c r="A5" s="11">
        <f>COUNTA(reclamations!$A$2:$A$27)</f>
        <v>26</v>
      </c>
      <c r="B5" s="11"/>
      <c r="C5" s="12">
        <f>IFERROR(COUNTIF(reclamations!$H$2:$H$27,1)/COUNTA(reclamations!$A$2:$A$27),0)</f>
        <v>0.53846153846153844</v>
      </c>
      <c r="D5" s="12"/>
      <c r="E5" s="13">
        <f>COUNTIF(reclamations!$H$2:$H$27,0)</f>
        <v>12</v>
      </c>
      <c r="F5" s="13"/>
      <c r="N5">
        <f>COUNTIF(reclamations!$D$2:$D$27,$M5)</f>
        <v>0</v>
      </c>
    </row>
    <row r="6" spans="1:14" ht="15" customHeight="1" x14ac:dyDescent="0.3">
      <c r="A6" s="14" t="s">
        <v>102</v>
      </c>
      <c r="B6" s="14"/>
      <c r="C6" s="14" t="s">
        <v>103</v>
      </c>
      <c r="D6" s="14"/>
      <c r="E6" s="14" t="s">
        <v>104</v>
      </c>
      <c r="F6" s="14"/>
      <c r="N6">
        <f>COUNTIF(reclamations!$D$2:$D$27,$M6)</f>
        <v>0</v>
      </c>
    </row>
    <row r="7" spans="1:14" x14ac:dyDescent="0.3">
      <c r="N7">
        <f>COUNTIF(reclamations!$D$2:$D$27,$M7)</f>
        <v>0</v>
      </c>
    </row>
    <row r="8" spans="1:14" ht="15" customHeight="1" x14ac:dyDescent="0.3">
      <c r="A8" s="10" t="s">
        <v>105</v>
      </c>
      <c r="B8" s="10"/>
      <c r="C8" s="10"/>
      <c r="D8" s="10"/>
      <c r="E8" s="10"/>
      <c r="F8" s="10"/>
      <c r="N8">
        <f>COUNTIF(reclamations!$D$2:$D$27,$M8)</f>
        <v>0</v>
      </c>
    </row>
    <row r="9" spans="1:14" ht="15" customHeight="1" x14ac:dyDescent="0.3">
      <c r="A9" s="15" t="s">
        <v>106</v>
      </c>
      <c r="B9" s="15"/>
      <c r="C9" s="15" t="s">
        <v>107</v>
      </c>
      <c r="D9" s="15"/>
      <c r="E9" s="15" t="s">
        <v>108</v>
      </c>
      <c r="F9" s="15"/>
      <c r="N9">
        <f>COUNTIF(reclamations!$D$2:$D$27,$M9)</f>
        <v>0</v>
      </c>
    </row>
    <row r="10" spans="1:14" ht="19.8" x14ac:dyDescent="0.3">
      <c r="A10" s="16" t="str">
        <f>INDEX(A17:A20,MATCH(MAX(B17:B20),B17:B20,0))</f>
        <v>Transdev Île-de-France SA</v>
      </c>
      <c r="B10" s="16"/>
      <c r="C10" s="16" t="str">
        <f>INDEX(A27:A34,MATCH(MAX(B27:B34),B27:B34,0))</f>
        <v>Meudon</v>
      </c>
      <c r="D10" s="16"/>
      <c r="E10" s="16" t="str">
        <f>INDEX(D27:D34, MATCH(MAX(E27:E34), E27:E34, 0))</f>
        <v>169</v>
      </c>
      <c r="F10" s="16"/>
    </row>
    <row r="11" spans="1:14" x14ac:dyDescent="0.3">
      <c r="A11" s="17" t="str">
        <f>MAX(B17:B20)&amp;" réclamations"</f>
        <v>14 réclamations</v>
      </c>
      <c r="B11" s="17"/>
      <c r="C11" s="17" t="str">
        <f>MAX(B27:B34)&amp;" réclamations"</f>
        <v>7 réclamations</v>
      </c>
      <c r="D11" s="17"/>
      <c r="E11" s="17" t="str">
        <f>MAX(E27:E34)&amp;" réclamations"</f>
        <v>10 réclamations</v>
      </c>
      <c r="F11" s="17"/>
    </row>
    <row r="13" spans="1:14" ht="15" customHeight="1" x14ac:dyDescent="0.3">
      <c r="A13" s="10" t="s">
        <v>109</v>
      </c>
      <c r="B13" s="10"/>
      <c r="C13" s="10"/>
      <c r="D13" s="10"/>
      <c r="E13" s="10"/>
      <c r="F13" s="10"/>
    </row>
    <row r="15" spans="1:14" x14ac:dyDescent="0.3">
      <c r="A15" s="5" t="s">
        <v>110</v>
      </c>
      <c r="D15" s="5" t="s">
        <v>113</v>
      </c>
    </row>
    <row r="16" spans="1:14" x14ac:dyDescent="0.3">
      <c r="A16" s="6" t="s">
        <v>114</v>
      </c>
      <c r="B16" t="s">
        <v>115</v>
      </c>
      <c r="D16" s="6" t="s">
        <v>114</v>
      </c>
      <c r="E16" t="s">
        <v>115</v>
      </c>
    </row>
    <row r="17" spans="1:5" x14ac:dyDescent="0.3">
      <c r="A17" s="7" t="s">
        <v>117</v>
      </c>
      <c r="B17" s="18">
        <v>5</v>
      </c>
      <c r="D17" s="7" t="s">
        <v>47</v>
      </c>
      <c r="E17" s="18">
        <v>2</v>
      </c>
    </row>
    <row r="18" spans="1:5" x14ac:dyDescent="0.3">
      <c r="A18" s="7" t="s">
        <v>118</v>
      </c>
      <c r="B18" s="18">
        <v>2</v>
      </c>
      <c r="D18" s="7" t="s">
        <v>44</v>
      </c>
      <c r="E18" s="18">
        <v>4</v>
      </c>
    </row>
    <row r="19" spans="1:5" x14ac:dyDescent="0.3">
      <c r="A19" s="7" t="s">
        <v>119</v>
      </c>
      <c r="B19" s="18">
        <v>5</v>
      </c>
      <c r="D19" s="7" t="s">
        <v>34</v>
      </c>
      <c r="E19" s="18">
        <v>3</v>
      </c>
    </row>
    <row r="20" spans="1:5" x14ac:dyDescent="0.3">
      <c r="A20" s="7" t="s">
        <v>120</v>
      </c>
      <c r="B20" s="18">
        <v>14</v>
      </c>
      <c r="D20" s="7" t="s">
        <v>62</v>
      </c>
      <c r="E20" s="18">
        <v>2</v>
      </c>
    </row>
    <row r="21" spans="1:5" x14ac:dyDescent="0.3">
      <c r="A21" s="7" t="s">
        <v>116</v>
      </c>
      <c r="B21" s="18">
        <v>26</v>
      </c>
      <c r="D21" s="7" t="s">
        <v>20</v>
      </c>
      <c r="E21" s="18">
        <v>10</v>
      </c>
    </row>
    <row r="22" spans="1:5" x14ac:dyDescent="0.3">
      <c r="D22" s="7" t="s">
        <v>28</v>
      </c>
      <c r="E22" s="18">
        <v>5</v>
      </c>
    </row>
    <row r="23" spans="1:5" x14ac:dyDescent="0.3">
      <c r="D23" s="7" t="s">
        <v>116</v>
      </c>
      <c r="E23" s="18">
        <v>26</v>
      </c>
    </row>
    <row r="25" spans="1:5" x14ac:dyDescent="0.3">
      <c r="A25" s="5" t="s">
        <v>111</v>
      </c>
      <c r="D25" s="5" t="s">
        <v>112</v>
      </c>
    </row>
    <row r="26" spans="1:5" x14ac:dyDescent="0.3">
      <c r="A26" s="6" t="s">
        <v>114</v>
      </c>
      <c r="B26" t="s">
        <v>115</v>
      </c>
      <c r="D26" s="6" t="s">
        <v>114</v>
      </c>
      <c r="E26" t="s">
        <v>115</v>
      </c>
    </row>
    <row r="27" spans="1:5" x14ac:dyDescent="0.3">
      <c r="A27" s="7" t="s">
        <v>33</v>
      </c>
      <c r="B27" s="18">
        <v>2</v>
      </c>
      <c r="D27" s="7" t="s">
        <v>18</v>
      </c>
      <c r="E27" s="18">
        <v>10</v>
      </c>
    </row>
    <row r="28" spans="1:5" x14ac:dyDescent="0.3">
      <c r="A28" s="7" t="s">
        <v>73</v>
      </c>
      <c r="B28" s="18">
        <v>3</v>
      </c>
      <c r="D28" s="7" t="s">
        <v>76</v>
      </c>
      <c r="E28" s="18">
        <v>1</v>
      </c>
    </row>
    <row r="29" spans="1:5" x14ac:dyDescent="0.3">
      <c r="A29" s="7" t="s">
        <v>38</v>
      </c>
      <c r="B29" s="18">
        <v>4</v>
      </c>
      <c r="D29" s="7" t="s">
        <v>42</v>
      </c>
      <c r="E29" s="18">
        <v>3</v>
      </c>
    </row>
    <row r="30" spans="1:5" x14ac:dyDescent="0.3">
      <c r="A30" s="7" t="s">
        <v>43</v>
      </c>
      <c r="B30" s="18">
        <v>4</v>
      </c>
      <c r="D30" s="7" t="s">
        <v>68</v>
      </c>
      <c r="E30" s="18">
        <v>1</v>
      </c>
    </row>
    <row r="31" spans="1:5" x14ac:dyDescent="0.3">
      <c r="A31" s="7" t="s">
        <v>19</v>
      </c>
      <c r="B31" s="18">
        <v>7</v>
      </c>
      <c r="D31" s="7" t="s">
        <v>27</v>
      </c>
      <c r="E31" s="18">
        <v>4</v>
      </c>
    </row>
    <row r="32" spans="1:5" x14ac:dyDescent="0.3">
      <c r="A32" s="7" t="s">
        <v>54</v>
      </c>
      <c r="B32" s="18">
        <v>3</v>
      </c>
      <c r="D32" s="7" t="s">
        <v>32</v>
      </c>
      <c r="E32" s="18">
        <v>2</v>
      </c>
    </row>
    <row r="33" spans="1:5" x14ac:dyDescent="0.3">
      <c r="A33" s="7" t="s">
        <v>51</v>
      </c>
      <c r="B33" s="18">
        <v>2</v>
      </c>
      <c r="D33" s="7" t="s">
        <v>50</v>
      </c>
      <c r="E33" s="18">
        <v>2</v>
      </c>
    </row>
    <row r="34" spans="1:5" x14ac:dyDescent="0.3">
      <c r="A34" s="7" t="s">
        <v>65</v>
      </c>
      <c r="B34" s="18">
        <v>1</v>
      </c>
      <c r="D34" s="7" t="s">
        <v>59</v>
      </c>
      <c r="E34" s="18">
        <v>3</v>
      </c>
    </row>
    <row r="35" spans="1:5" x14ac:dyDescent="0.3">
      <c r="A35" s="7" t="s">
        <v>116</v>
      </c>
      <c r="B35" s="18">
        <v>26</v>
      </c>
      <c r="D35" s="7" t="s">
        <v>116</v>
      </c>
      <c r="E35" s="18">
        <v>26</v>
      </c>
    </row>
  </sheetData>
  <mergeCells count="20">
    <mergeCell ref="A13:F13"/>
    <mergeCell ref="A10:B10"/>
    <mergeCell ref="C10:D10"/>
    <mergeCell ref="E10:F10"/>
    <mergeCell ref="A11:B11"/>
    <mergeCell ref="C11:D11"/>
    <mergeCell ref="E11:F11"/>
    <mergeCell ref="A6:B6"/>
    <mergeCell ref="C6:D6"/>
    <mergeCell ref="E6:F6"/>
    <mergeCell ref="A8:F8"/>
    <mergeCell ref="A9:B9"/>
    <mergeCell ref="C9:D9"/>
    <mergeCell ref="E9:F9"/>
    <mergeCell ref="A1:F1"/>
    <mergeCell ref="A2:F2"/>
    <mergeCell ref="A4:F4"/>
    <mergeCell ref="A5:B5"/>
    <mergeCell ref="C5:D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reclamations</vt:lpstr>
      <vt:lpstr>listes</vt:lpstr>
      <vt:lpstr>Tableau de suivi</vt:lpstr>
      <vt:lpstr>L_CANAL</vt:lpstr>
      <vt:lpstr>L_MOTIF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Andriantsoanavalona Mandresy</cp:lastModifiedBy>
  <cp:revision>1</cp:revision>
  <dcterms:created xsi:type="dcterms:W3CDTF">2026-06-11T13:31:53Z</dcterms:created>
  <dcterms:modified xsi:type="dcterms:W3CDTF">2026-06-11T15:08:53Z</dcterms:modified>
  <dc:language>en-US</dc:language>
</cp:coreProperties>
</file>