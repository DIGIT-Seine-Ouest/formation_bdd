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driantsoanavalona\Desktop\formation bdd - Mobilité\bdd_correction\"/>
    </mc:Choice>
  </mc:AlternateContent>
  <xr:revisionPtr revIDLastSave="0" documentId="13_ncr:1_{ECAA9DD7-9AFE-459C-AA5C-997763A3AD5C}" xr6:coauthVersionLast="47" xr6:coauthVersionMax="47" xr10:uidLastSave="{00000000-0000-0000-0000-000000000000}"/>
  <bookViews>
    <workbookView xWindow="-28920" yWindow="840" windowWidth="29040" windowHeight="15720" tabRatio="500" xr2:uid="{00000000-000D-0000-FFFF-FFFF00000000}"/>
  </bookViews>
  <sheets>
    <sheet name="ReadMe" sheetId="1" r:id="rId1"/>
    <sheet name="Dict_donnees" sheetId="2" r:id="rId2"/>
    <sheet name="ref_lignes" sheetId="3" r:id="rId3"/>
    <sheet name="ref_arrets" sheetId="4" r:id="rId4"/>
    <sheet name="ref_prestataires" sheetId="5" r:id="rId5"/>
    <sheet name="ref_motifs" sheetId="6" r:id="rId6"/>
    <sheet name="ref_statuts" sheetId="7" r:id="rId7"/>
    <sheet name="ref_agents" sheetId="8" r:id="rId8"/>
    <sheet name="reclamants" sheetId="9" r:id="rId9"/>
    <sheet name="reclamations" sheetId="10" r:id="rId10"/>
    <sheet name="suivi_reclamations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9" i="11" l="1"/>
  <c r="J19" i="11"/>
  <c r="I19" i="11"/>
  <c r="H19" i="11"/>
  <c r="G19" i="11"/>
  <c r="F19" i="11"/>
  <c r="E19" i="11"/>
  <c r="D19" i="11"/>
  <c r="C19" i="11"/>
  <c r="B19" i="11"/>
  <c r="A19" i="11"/>
  <c r="K18" i="11"/>
  <c r="J18" i="11"/>
  <c r="I18" i="11"/>
  <c r="H18" i="11"/>
  <c r="G18" i="11"/>
  <c r="F18" i="11"/>
  <c r="E18" i="11"/>
  <c r="D18" i="11"/>
  <c r="C18" i="11"/>
  <c r="B18" i="11"/>
  <c r="A18" i="11"/>
  <c r="K17" i="11"/>
  <c r="J17" i="11"/>
  <c r="I17" i="11"/>
  <c r="H17" i="11"/>
  <c r="G17" i="11"/>
  <c r="F17" i="11"/>
  <c r="E17" i="11"/>
  <c r="D17" i="11"/>
  <c r="C17" i="11"/>
  <c r="B17" i="11"/>
  <c r="A17" i="11"/>
  <c r="K16" i="11"/>
  <c r="J16" i="11"/>
  <c r="I16" i="11"/>
  <c r="H16" i="11"/>
  <c r="G16" i="11"/>
  <c r="F16" i="11"/>
  <c r="E16" i="11"/>
  <c r="D16" i="11"/>
  <c r="C16" i="11"/>
  <c r="B16" i="11"/>
  <c r="A16" i="11"/>
  <c r="K15" i="11"/>
  <c r="J15" i="11"/>
  <c r="I15" i="11"/>
  <c r="H15" i="11"/>
  <c r="G15" i="11"/>
  <c r="F15" i="11"/>
  <c r="E15" i="11"/>
  <c r="D15" i="11"/>
  <c r="C15" i="11"/>
  <c r="B15" i="11"/>
  <c r="A15" i="11"/>
  <c r="K14" i="11"/>
  <c r="J14" i="11"/>
  <c r="I14" i="11"/>
  <c r="H14" i="11"/>
  <c r="G14" i="11"/>
  <c r="F14" i="11"/>
  <c r="E14" i="11"/>
  <c r="D14" i="11"/>
  <c r="C14" i="11"/>
  <c r="B14" i="11"/>
  <c r="A14" i="11"/>
  <c r="K13" i="11"/>
  <c r="J13" i="11"/>
  <c r="I13" i="11"/>
  <c r="H13" i="11"/>
  <c r="G13" i="11"/>
  <c r="F13" i="11"/>
  <c r="E13" i="11"/>
  <c r="D13" i="11"/>
  <c r="C13" i="11"/>
  <c r="B13" i="11"/>
  <c r="A13" i="11"/>
  <c r="K12" i="11"/>
  <c r="J12" i="11"/>
  <c r="I12" i="11"/>
  <c r="H12" i="11"/>
  <c r="G12" i="11"/>
  <c r="F12" i="11"/>
  <c r="E12" i="11"/>
  <c r="D12" i="11"/>
  <c r="C12" i="11"/>
  <c r="B12" i="11"/>
  <c r="A12" i="11"/>
  <c r="K11" i="11"/>
  <c r="J11" i="11"/>
  <c r="I11" i="11"/>
  <c r="H11" i="11"/>
  <c r="G11" i="11"/>
  <c r="F11" i="11"/>
  <c r="E11" i="11"/>
  <c r="D11" i="11"/>
  <c r="C11" i="11"/>
  <c r="B11" i="11"/>
  <c r="A11" i="11"/>
  <c r="K10" i="11"/>
  <c r="J10" i="11"/>
  <c r="I10" i="11"/>
  <c r="H10" i="11"/>
  <c r="G10" i="11"/>
  <c r="F10" i="11"/>
  <c r="E10" i="11"/>
  <c r="D10" i="11"/>
  <c r="C10" i="11"/>
  <c r="B10" i="11"/>
  <c r="A10" i="11"/>
  <c r="K9" i="11"/>
  <c r="J9" i="11"/>
  <c r="I9" i="11"/>
  <c r="H9" i="11"/>
  <c r="G9" i="11"/>
  <c r="F9" i="11"/>
  <c r="E9" i="11"/>
  <c r="D9" i="11"/>
  <c r="C9" i="11"/>
  <c r="B9" i="11"/>
  <c r="A9" i="11"/>
  <c r="K8" i="11"/>
  <c r="J8" i="11"/>
  <c r="I8" i="11"/>
  <c r="H8" i="11"/>
  <c r="G8" i="11"/>
  <c r="F8" i="11"/>
  <c r="E8" i="11"/>
  <c r="D8" i="11"/>
  <c r="C8" i="11"/>
  <c r="B8" i="11"/>
  <c r="A8" i="11"/>
  <c r="K7" i="11"/>
  <c r="J7" i="11"/>
  <c r="I7" i="11"/>
  <c r="H7" i="11"/>
  <c r="G7" i="11"/>
  <c r="F7" i="11"/>
  <c r="E7" i="11"/>
  <c r="D7" i="11"/>
  <c r="C7" i="11"/>
  <c r="B7" i="11"/>
  <c r="A7" i="11"/>
  <c r="K6" i="11"/>
  <c r="J6" i="11"/>
  <c r="I6" i="11"/>
  <c r="H6" i="11"/>
  <c r="G6" i="11"/>
  <c r="F6" i="11"/>
  <c r="E6" i="11"/>
  <c r="D6" i="11"/>
  <c r="C6" i="11"/>
  <c r="B6" i="11"/>
  <c r="A6" i="11"/>
  <c r="K5" i="11"/>
  <c r="J5" i="11"/>
  <c r="I5" i="11"/>
  <c r="H5" i="11"/>
  <c r="G5" i="11"/>
  <c r="F5" i="11"/>
  <c r="E5" i="11"/>
  <c r="D5" i="11"/>
  <c r="C5" i="11"/>
  <c r="B5" i="11"/>
  <c r="A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900-000001000000}">
      <text>
        <r>
          <rPr>
            <sz val="10"/>
            <rFont val="Arial"/>
            <family val="2"/>
          </rPr>
          <t>FK vers reclamants.id_reclamant</t>
        </r>
      </text>
    </comment>
    <comment ref="D2" authorId="0" shapeId="0" xr:uid="{00000000-0006-0000-0900-000002000000}">
      <text>
        <r>
          <rPr>
            <sz val="10"/>
            <rFont val="Arial"/>
            <family val="2"/>
          </rPr>
          <t>FK vers ref_lignes.id_ligne</t>
        </r>
      </text>
    </comment>
    <comment ref="E2" authorId="0" shapeId="0" xr:uid="{00000000-0006-0000-0900-000003000000}">
      <text>
        <r>
          <rPr>
            <sz val="10"/>
            <rFont val="Arial"/>
            <family val="2"/>
          </rPr>
          <t>FK vers ref_motifs.id_motif</t>
        </r>
      </text>
    </comment>
    <comment ref="F2" authorId="0" shapeId="0" xr:uid="{00000000-0006-0000-0900-000004000000}">
      <text>
        <r>
          <rPr>
            <sz val="10"/>
            <rFont val="Arial"/>
            <family val="2"/>
          </rPr>
          <t>FK vers ref_statuts.id_statut
DEFAULT = S1 (Ouverte)</t>
        </r>
      </text>
    </comment>
    <comment ref="G2" authorId="0" shapeId="0" xr:uid="{00000000-0006-0000-0900-000005000000}">
      <text>
        <r>
          <rPr>
            <sz val="10"/>
            <rFont val="Arial"/>
            <family val="2"/>
          </rPr>
          <t>FK vers ref_agents.id_agent</t>
        </r>
      </text>
    </comment>
    <comment ref="H2" authorId="0" shapeId="0" xr:uid="{00000000-0006-0000-0900-000006000000}">
      <text>
        <r>
          <rPr>
            <sz val="10"/>
            <rFont val="Arial"/>
            <family val="2"/>
          </rPr>
          <t>CHECK : date_cloture &gt; date_reclamation</t>
        </r>
      </text>
    </comment>
  </commentList>
</comments>
</file>

<file path=xl/sharedStrings.xml><?xml version="1.0" encoding="utf-8"?>
<sst xmlns="http://schemas.openxmlformats.org/spreadsheetml/2006/main" count="833" uniqueCount="424">
  <si>
    <t>Base de données — Réclamations DIRMOB</t>
  </si>
  <si>
    <t>Grand Paris Seine Ouest — Service Mobilité</t>
  </si>
  <si>
    <t>IDENTITÉ DU FICHIER</t>
  </si>
  <si>
    <t>Nom</t>
  </si>
  <si>
    <t>bdd_reclamations_dirmob.xlsx</t>
  </si>
  <si>
    <t>Version</t>
  </si>
  <si>
    <t>1.0</t>
  </si>
  <si>
    <t>Date de création</t>
  </si>
  <si>
    <t>21/04/2026</t>
  </si>
  <si>
    <t>Dernière mise à jour</t>
  </si>
  <si>
    <t>Propriétaire (owner)</t>
  </si>
  <si>
    <t>DIRMOB — Grand Paris Seine Ouest</t>
  </si>
  <si>
    <t>Contact référent</t>
  </si>
  <si>
    <t>dirmob@agglo-gpso.fr</t>
  </si>
  <si>
    <t>Licence / usage</t>
  </si>
  <si>
    <t>Interne GPSO. Les référentiels externes (ref_lignes, ref_arrets, ref_prestataires) sont des communs numériques (Licence Ouverte Etalab 2.0).</t>
  </si>
  <si>
    <t>OBJET</t>
  </si>
  <si>
    <t>But</t>
  </si>
  <si>
    <t>Enregistrer et suivre les réclamations usagers sur les services de mobilité (bus, Vélib, IRVE, autopartage).</t>
  </si>
  <si>
    <t>Usage attendu</t>
  </si>
  <si>
    <t>Saisie quotidienne par les agents DIRMOB ; bilans mensuels/trimestriels ; remontées aux prestataires et aux élus.</t>
  </si>
  <si>
    <t>ARCHITECTURE</t>
  </si>
  <si>
    <t>Principe</t>
  </si>
  <si>
    <t>Modèle relationnel : une table par entité métier, liées entre elles par identifiants (IDs).</t>
  </si>
  <si>
    <t>Convention de nommage</t>
  </si>
  <si>
    <t>snake_case, sans accents, sans espaces, sans caractères spéciaux.</t>
  </si>
  <si>
    <t>Identifiants</t>
  </si>
  <si>
    <t>Tous les IDs sont non signifiants, uniques et stables dans le temps.</t>
  </si>
  <si>
    <t>CONTENU DU FICHIER (8 tables + 1 vue + 2 docs)</t>
  </si>
  <si>
    <t>Onglet</t>
  </si>
  <si>
    <t>Type</t>
  </si>
  <si>
    <t>Rôle</t>
  </si>
  <si>
    <t>Source</t>
  </si>
  <si>
    <t>Fréquence MAJ</t>
  </si>
  <si>
    <t>Responsable</t>
  </si>
  <si>
    <t>ReadMe</t>
  </si>
  <si>
    <t>Documentation</t>
  </si>
  <si>
    <t>Métadonnées globales du fichier</t>
  </si>
  <si>
    <t>Interne</t>
  </si>
  <si>
    <t>Ponctuelle</t>
  </si>
  <si>
    <t>DIRMOB</t>
  </si>
  <si>
    <t>Dict_donnees</t>
  </si>
  <si>
    <t>Dictionnaire de toutes les colonnes</t>
  </si>
  <si>
    <t>À chaque évolution</t>
  </si>
  <si>
    <t>ref_lignes</t>
  </si>
  <si>
    <t>Référentiel externe</t>
  </si>
  <si>
    <t>Lignes de bus (commun IDFM)</t>
  </si>
  <si>
    <t>data.gouv.fr / IDFM</t>
  </si>
  <si>
    <t>Mensuelle</t>
  </si>
  <si>
    <t>IDFM (externe)</t>
  </si>
  <si>
    <t>ref_arrets</t>
  </si>
  <si>
    <t>Arrêts de bus (commun IDFM)</t>
  </si>
  <si>
    <t>ref_prestataires</t>
  </si>
  <si>
    <t>Délégataires de service public</t>
  </si>
  <si>
    <t>DIRMOB + SIRENE</t>
  </si>
  <si>
    <t>Annuelle</t>
  </si>
  <si>
    <t>ref_motifs</t>
  </si>
  <si>
    <t>Référentiel interne</t>
  </si>
  <si>
    <t>Motifs de réclamation</t>
  </si>
  <si>
    <t>Interne DIRMOB</t>
  </si>
  <si>
    <t>Trimestrielle</t>
  </si>
  <si>
    <t>ref_statuts</t>
  </si>
  <si>
    <t>Cycle de vie d'une réclamation</t>
  </si>
  <si>
    <t>Rare</t>
  </si>
  <si>
    <t>ref_agents</t>
  </si>
  <si>
    <t>Agents DIRMOB (traitement)</t>
  </si>
  <si>
    <t>RH GPSO</t>
  </si>
  <si>
    <t>À chaque arrivée/départ</t>
  </si>
  <si>
    <t>DIRMOB / RH</t>
  </si>
  <si>
    <t>reclamants</t>
  </si>
  <si>
    <t>Transactionnelle</t>
  </si>
  <si>
    <t>Personnes qui réclament</t>
  </si>
  <si>
    <t>Saisie agent</t>
  </si>
  <si>
    <t>Continue</t>
  </si>
  <si>
    <t>Agent saisie</t>
  </si>
  <si>
    <t>reclamations</t>
  </si>
  <si>
    <t>Les réclamations (table principale)</t>
  </si>
  <si>
    <t>suivi_reclamations</t>
  </si>
  <si>
    <t>Vue (tableau de suivi)</t>
  </si>
  <si>
    <t>Vue aplatie des réclamations (XLOOKUP)</t>
  </si>
  <si>
    <t>Dérivée de reclamations</t>
  </si>
  <si>
    <t>Automatique</t>
  </si>
  <si>
    <t>Auto</t>
  </si>
  <si>
    <t>HISTORIQUE DES VERSIONS</t>
  </si>
  <si>
    <t>Date</t>
  </si>
  <si>
    <t>Auteur</t>
  </si>
  <si>
    <t>Description</t>
  </si>
  <si>
    <t>M. Andriamialison</t>
  </si>
  <si>
    <t>Création initiale dans le cadre de la formation BDD DIRMOB</t>
  </si>
  <si>
    <t>Dictionnaire de données</t>
  </si>
  <si>
    <t>Description formelle de chaque champ de chaque table — garantit la compréhension commune et la continuité de service.</t>
  </si>
  <si>
    <t>Table</t>
  </si>
  <si>
    <t>Champ</t>
  </si>
  <si>
    <t>Obligatoire</t>
  </si>
  <si>
    <t>Clé / Contrainte</t>
  </si>
  <si>
    <t>Valeurs possibles / Format</t>
  </si>
  <si>
    <t>Exemple</t>
  </si>
  <si>
    <t>id_ligne</t>
  </si>
  <si>
    <t>Texte</t>
  </si>
  <si>
    <t>Oui</t>
  </si>
  <si>
    <t>PK</t>
  </si>
  <si>
    <t>Identifiant unique de la ligne</t>
  </si>
  <si>
    <t>L + 3 chiffres</t>
  </si>
  <si>
    <t>IDFM</t>
  </si>
  <si>
    <t>L001</t>
  </si>
  <si>
    <t>numero</t>
  </si>
  <si>
    <t>Numéro commercial de la ligne</t>
  </si>
  <si>
    <t>Libre</t>
  </si>
  <si>
    <t>389</t>
  </si>
  <si>
    <t>nom</t>
  </si>
  <si>
    <t>Dénomination de la ligne</t>
  </si>
  <si>
    <t>Clamart - Issy</t>
  </si>
  <si>
    <t>id_prestataire</t>
  </si>
  <si>
    <t>FK ref_prestataires</t>
  </si>
  <si>
    <t>Prestataire exploitant</t>
  </si>
  <si>
    <t>Voir ref_prestataires</t>
  </si>
  <si>
    <t>P001</t>
  </si>
  <si>
    <t>date_import</t>
  </si>
  <si>
    <t>Date d'import depuis la source</t>
  </si>
  <si>
    <t>JJ/MM/AAAA</t>
  </si>
  <si>
    <t>01/04/2026</t>
  </si>
  <si>
    <t>id_arret</t>
  </si>
  <si>
    <t>Identifiant unique de l'arrêt</t>
  </si>
  <si>
    <t>A + 3 chiffres</t>
  </si>
  <si>
    <t>A001</t>
  </si>
  <si>
    <t>Dénomination de l'arrêt</t>
  </si>
  <si>
    <t>Pasteur</t>
  </si>
  <si>
    <t>FK ref_lignes</t>
  </si>
  <si>
    <t>Ligne desservie</t>
  </si>
  <si>
    <t>Voir ref_lignes</t>
  </si>
  <si>
    <t>latitude</t>
  </si>
  <si>
    <t>Nombre</t>
  </si>
  <si>
    <t>Non</t>
  </si>
  <si>
    <t>Coordonnée géographique (WGS84)</t>
  </si>
  <si>
    <t>Décimal</t>
  </si>
  <si>
    <t>48.8156</t>
  </si>
  <si>
    <t>longitude</t>
  </si>
  <si>
    <t>2.2500</t>
  </si>
  <si>
    <t>Identifiant unique du prestataire</t>
  </si>
  <si>
    <t>P + 3 chiffres</t>
  </si>
  <si>
    <t>UNIQUE</t>
  </si>
  <si>
    <t>Raison sociale</t>
  </si>
  <si>
    <t>Libre, sans variations</t>
  </si>
  <si>
    <t>Keolis</t>
  </si>
  <si>
    <t>siret</t>
  </si>
  <si>
    <t>Numéro SIRET</t>
  </si>
  <si>
    <t>14 chiffres</t>
  </si>
  <si>
    <t>SIRENE</t>
  </si>
  <si>
    <t>12345678901234</t>
  </si>
  <si>
    <t>contact_email</t>
  </si>
  <si>
    <t>Email de contact</t>
  </si>
  <si>
    <t>Email valide</t>
  </si>
  <si>
    <t>contact@keolis.fr</t>
  </si>
  <si>
    <t>contact_tel</t>
  </si>
  <si>
    <t>Téléphone de contact</t>
  </si>
  <si>
    <t>10 chiffres</t>
  </si>
  <si>
    <t>0123456789</t>
  </si>
  <si>
    <t>id_motif</t>
  </si>
  <si>
    <t>Identifiant du motif</t>
  </si>
  <si>
    <t>M + 2 chiffres</t>
  </si>
  <si>
    <t>M01</t>
  </si>
  <si>
    <t>libelle</t>
  </si>
  <si>
    <t>Libellé du motif</t>
  </si>
  <si>
    <t>Voir liste ref_motifs</t>
  </si>
  <si>
    <t>Retard</t>
  </si>
  <si>
    <t>categorie</t>
  </si>
  <si>
    <t>Famille de motif</t>
  </si>
  <si>
    <t>Ponctualité | Matériel | Confort | Service | Autre</t>
  </si>
  <si>
    <t>Ponctualité</t>
  </si>
  <si>
    <t>id_statut</t>
  </si>
  <si>
    <t>Identifiant du statut</t>
  </si>
  <si>
    <t>S + 1 chiffre</t>
  </si>
  <si>
    <t>S1</t>
  </si>
  <si>
    <t>Libellé du statut</t>
  </si>
  <si>
    <t>Voir liste ref_statuts</t>
  </si>
  <si>
    <t>Ouverte</t>
  </si>
  <si>
    <t>ordre</t>
  </si>
  <si>
    <t>Ordre logique dans le cycle de vie</t>
  </si>
  <si>
    <t>Entier 1-5</t>
  </si>
  <si>
    <t>1</t>
  </si>
  <si>
    <t>id_agent</t>
  </si>
  <si>
    <t>Identifiant de l'agent</t>
  </si>
  <si>
    <t>A + 2 chiffres</t>
  </si>
  <si>
    <t>A01</t>
  </si>
  <si>
    <t>Nom de famille (peut changer)</t>
  </si>
  <si>
    <t>RH</t>
  </si>
  <si>
    <t>Martin</t>
  </si>
  <si>
    <t>prenom</t>
  </si>
  <si>
    <t>Prénom</t>
  </si>
  <si>
    <t>Sophie</t>
  </si>
  <si>
    <t>email</t>
  </si>
  <si>
    <t>Email professionnel</t>
  </si>
  <si>
    <t>Email GPSO</t>
  </si>
  <si>
    <t>s.martin@gpso.fr</t>
  </si>
  <si>
    <t>id_reclamant</t>
  </si>
  <si>
    <t>Identifiant du réclamant (non signifiant)</t>
  </si>
  <si>
    <t>C + 3 chiffres</t>
  </si>
  <si>
    <t>C001</t>
  </si>
  <si>
    <t>Nom de famille (peut changer : mariage)</t>
  </si>
  <si>
    <t>Saisie</t>
  </si>
  <si>
    <t>Jean</t>
  </si>
  <si>
    <t>Email (peut changer)</t>
  </si>
  <si>
    <t>j.martin@...fr</t>
  </si>
  <si>
    <t>telephone</t>
  </si>
  <si>
    <t>Téléphone</t>
  </si>
  <si>
    <t>0612345678</t>
  </si>
  <si>
    <t>date_creation</t>
  </si>
  <si>
    <t>DEFAULT = aujourd'hui</t>
  </si>
  <si>
    <t>Date de 1ère réclamation</t>
  </si>
  <si>
    <t>05/03/2026</t>
  </si>
  <si>
    <t>id_reclamation</t>
  </si>
  <si>
    <t>Identifiant de la réclamation</t>
  </si>
  <si>
    <t>R + 3 chiffres</t>
  </si>
  <si>
    <t>R001</t>
  </si>
  <si>
    <t>date_reclamation</t>
  </si>
  <si>
    <t>NOT NULL</t>
  </si>
  <si>
    <t>Date de dépôt</t>
  </si>
  <si>
    <t>FK reclamants</t>
  </si>
  <si>
    <t>Qui réclame</t>
  </si>
  <si>
    <t>Voir reclamants</t>
  </si>
  <si>
    <t>Ligne concernée</t>
  </si>
  <si>
    <t>FK ref_motifs</t>
  </si>
  <si>
    <t>Motif principal</t>
  </si>
  <si>
    <t>Voir ref_motifs</t>
  </si>
  <si>
    <t>FK ref_statuts / DEFAULT = S1</t>
  </si>
  <si>
    <t>Statut courant</t>
  </si>
  <si>
    <t>Voir ref_statuts</t>
  </si>
  <si>
    <t>Saisie / Auto</t>
  </si>
  <si>
    <t>FK ref_agents</t>
  </si>
  <si>
    <t>Agent en charge</t>
  </si>
  <si>
    <t>Voir ref_agents</t>
  </si>
  <si>
    <t>date_cloture</t>
  </si>
  <si>
    <t>CHECK &gt; date_reclamation</t>
  </si>
  <si>
    <t>Date de clôture si statut = Close</t>
  </si>
  <si>
    <t>12/03/2026</t>
  </si>
  <si>
    <t>description</t>
  </si>
  <si>
    <t>Texte long</t>
  </si>
  <si>
    <t>Commentaire libre de l'agent</t>
  </si>
  <si>
    <t>&lt; 500 caractères</t>
  </si>
  <si>
    <t>Bus passé 8 min en avance...</t>
  </si>
  <si>
    <t>RÉFÉRENTIEL EXTERNE — Lignes de bus (source : IDFM, commun numérique)</t>
  </si>
  <si>
    <t>L002</t>
  </si>
  <si>
    <t>169</t>
  </si>
  <si>
    <t>Pont de Sèvres - Place Balard</t>
  </si>
  <si>
    <t>P002</t>
  </si>
  <si>
    <t>L003</t>
  </si>
  <si>
    <t>160</t>
  </si>
  <si>
    <t>Boulogne - Versailles</t>
  </si>
  <si>
    <t>L004</t>
  </si>
  <si>
    <t>467</t>
  </si>
  <si>
    <t>Meudon - Sèvres</t>
  </si>
  <si>
    <t>L005</t>
  </si>
  <si>
    <t>179</t>
  </si>
  <si>
    <t>Pont de Sèvres - Meudon</t>
  </si>
  <si>
    <t>L006</t>
  </si>
  <si>
    <t>291</t>
  </si>
  <si>
    <t>Issy RER - Vanves</t>
  </si>
  <si>
    <t>L007</t>
  </si>
  <si>
    <t>189</t>
  </si>
  <si>
    <t>Boulogne Pont de St Cloud - Porte de St Cloud</t>
  </si>
  <si>
    <t>L008</t>
  </si>
  <si>
    <t>126</t>
  </si>
  <si>
    <t>Porte d'Orléans - Chaville Vélizy</t>
  </si>
  <si>
    <t>RÉFÉRENTIEL EXTERNE — Arrêts (source : IDFM, commun numérique)</t>
  </si>
  <si>
    <t>A002</t>
  </si>
  <si>
    <t>Mairie de Clamart</t>
  </si>
  <si>
    <t>A003</t>
  </si>
  <si>
    <t>Porte d'Issy</t>
  </si>
  <si>
    <t>A004</t>
  </si>
  <si>
    <t>Pont de Sèvres</t>
  </si>
  <si>
    <t>A005</t>
  </si>
  <si>
    <t>Place Balard</t>
  </si>
  <si>
    <t>A006</t>
  </si>
  <si>
    <t>Meudon Val Fleury</t>
  </si>
  <si>
    <t>A007</t>
  </si>
  <si>
    <t>Sèvres Ville d'Avray</t>
  </si>
  <si>
    <t>A008</t>
  </si>
  <si>
    <t>Chaville Vélizy</t>
  </si>
  <si>
    <t>RÉFÉRENTIEL — Prestataires / délégataires</t>
  </si>
  <si>
    <t>55214482400013</t>
  </si>
  <si>
    <t>contact@keolis.com</t>
  </si>
  <si>
    <t>0176530000</t>
  </si>
  <si>
    <t>RATP</t>
  </si>
  <si>
    <t>77566343801906</t>
  </si>
  <si>
    <t>contact@ratp.fr</t>
  </si>
  <si>
    <t>0158780000</t>
  </si>
  <si>
    <t>P003</t>
  </si>
  <si>
    <t>Transdev IDF</t>
  </si>
  <si>
    <t>33293944000050</t>
  </si>
  <si>
    <t>contact@transdev-idf.com</t>
  </si>
  <si>
    <t>0130230000</t>
  </si>
  <si>
    <t>RÉFÉRENTIEL INTERNE — Motifs de réclamation</t>
  </si>
  <si>
    <t>M02</t>
  </si>
  <si>
    <t>Avance</t>
  </si>
  <si>
    <t>M03</t>
  </si>
  <si>
    <t>Bus non passé</t>
  </si>
  <si>
    <t>M04</t>
  </si>
  <si>
    <t>Panne matériel</t>
  </si>
  <si>
    <t>Matériel</t>
  </si>
  <si>
    <t>M05</t>
  </si>
  <si>
    <t>Véhicule sale</t>
  </si>
  <si>
    <t>Confort</t>
  </si>
  <si>
    <t>M06</t>
  </si>
  <si>
    <t>Climatisation défaillante</t>
  </si>
  <si>
    <t>M07</t>
  </si>
  <si>
    <t>Comportement conducteur</t>
  </si>
  <si>
    <t>Service</t>
  </si>
  <si>
    <t>M08</t>
  </si>
  <si>
    <t>Information voyageurs</t>
  </si>
  <si>
    <t>M09</t>
  </si>
  <si>
    <t>Accessibilité PMR</t>
  </si>
  <si>
    <t>M10</t>
  </si>
  <si>
    <t>Autre</t>
  </si>
  <si>
    <t>RÉFÉRENTIEL INTERNE — Statuts (cycle de vie)</t>
  </si>
  <si>
    <t>S2</t>
  </si>
  <si>
    <t>En cours</t>
  </si>
  <si>
    <t>S3</t>
  </si>
  <si>
    <t>En attente prestataire</t>
  </si>
  <si>
    <t>S4</t>
  </si>
  <si>
    <t>Close</t>
  </si>
  <si>
    <t>S5</t>
  </si>
  <si>
    <t>Annulée</t>
  </si>
  <si>
    <t>RÉFÉRENTIEL INTERNE — Agents DIRMOB</t>
  </si>
  <si>
    <t>A02</t>
  </si>
  <si>
    <t>Dupont</t>
  </si>
  <si>
    <t>Paul</t>
  </si>
  <si>
    <t>p.dupont@gpso.fr</t>
  </si>
  <si>
    <t>A03</t>
  </si>
  <si>
    <t>Nguyen</t>
  </si>
  <si>
    <t>Thi</t>
  </si>
  <si>
    <t>t.nguyen@gpso.fr</t>
  </si>
  <si>
    <t>A04</t>
  </si>
  <si>
    <t>Roca</t>
  </si>
  <si>
    <t>Cristina</t>
  </si>
  <si>
    <t>c.roca@gpso.fr</t>
  </si>
  <si>
    <t>TABLE TRANSACTIONNELLE — Réclamants (personnes qui réclament)</t>
  </si>
  <si>
    <t>j.martin@mail.fr</t>
  </si>
  <si>
    <t>C002</t>
  </si>
  <si>
    <t>Anne</t>
  </si>
  <si>
    <t>a.dupont@mail.fr</t>
  </si>
  <si>
    <t>0698765432</t>
  </si>
  <si>
    <t>07/03/2026</t>
  </si>
  <si>
    <t>C003</t>
  </si>
  <si>
    <t>Tran</t>
  </si>
  <si>
    <t>t.nguyen@mail.fr</t>
  </si>
  <si>
    <t>0611223344</t>
  </si>
  <si>
    <t>10/03/2026</t>
  </si>
  <si>
    <t>C004</t>
  </si>
  <si>
    <t>Garcia</t>
  </si>
  <si>
    <t>Maria</t>
  </si>
  <si>
    <t>m.garcia@mail.fr</t>
  </si>
  <si>
    <t>0655667788</t>
  </si>
  <si>
    <t>C005</t>
  </si>
  <si>
    <t>Leroy</t>
  </si>
  <si>
    <t>Philippe</t>
  </si>
  <si>
    <t>p.leroy@mail.fr</t>
  </si>
  <si>
    <t>0633445566</t>
  </si>
  <si>
    <t>15/03/2026</t>
  </si>
  <si>
    <t>C006</t>
  </si>
  <si>
    <t>Ben Salem</t>
  </si>
  <si>
    <t>Karim</t>
  </si>
  <si>
    <t>k.bensalem@mail.fr</t>
  </si>
  <si>
    <t>0677889900</t>
  </si>
  <si>
    <t>18/03/2026</t>
  </si>
  <si>
    <t>C007</t>
  </si>
  <si>
    <t>Moreau</t>
  </si>
  <si>
    <t>Isabelle</t>
  </si>
  <si>
    <t>i.moreau@mail.fr</t>
  </si>
  <si>
    <t>0644556677</t>
  </si>
  <si>
    <t>22/03/2026</t>
  </si>
  <si>
    <t>C008</t>
  </si>
  <si>
    <t>Petit</t>
  </si>
  <si>
    <t>Antoine</t>
  </si>
  <si>
    <t>a.petit@mail.fr</t>
  </si>
  <si>
    <t>0688990011</t>
  </si>
  <si>
    <t>25/03/2026</t>
  </si>
  <si>
    <t>TABLE TRANSACTIONNELLE — Réclamations (table principale, uniquement des FK)</t>
  </si>
  <si>
    <t>Bus de 8h12 passé 10 min en retard, usagère a raté son train.</t>
  </si>
  <si>
    <t>R002</t>
  </si>
  <si>
    <t>Bus passé 8 min en avance à l'arrêt Pasteur.</t>
  </si>
  <si>
    <t>R003</t>
  </si>
  <si>
    <t>Panne de climatisation signalée deux jours de suite.</t>
  </si>
  <si>
    <t>R004</t>
  </si>
  <si>
    <t>Conducteur peu courtois lors d'une demande d'info.</t>
  </si>
  <si>
    <t>R005</t>
  </si>
  <si>
    <t>20/03/2026</t>
  </si>
  <si>
    <t>Retard récurrent sur la ligne 169 le matin.</t>
  </si>
  <si>
    <t>R006</t>
  </si>
  <si>
    <t>Affichage voyageur défaillant à l'arrêt Meudon Val Fleury.</t>
  </si>
  <si>
    <t>R007</t>
  </si>
  <si>
    <t>Bus de 17h45 non passé. Déjà signalé la semaine dernière.</t>
  </si>
  <si>
    <t>R008</t>
  </si>
  <si>
    <t>Rampe PMR en panne sur la ligne 291.</t>
  </si>
  <si>
    <t>R009</t>
  </si>
  <si>
    <t>28/03/2026</t>
  </si>
  <si>
    <t>Bus très sale, intérieur non nettoyé.</t>
  </si>
  <si>
    <t>R010</t>
  </si>
  <si>
    <t>27/03/2026</t>
  </si>
  <si>
    <t>Retard récurrent matin.</t>
  </si>
  <si>
    <t>R011</t>
  </si>
  <si>
    <t>29/03/2026</t>
  </si>
  <si>
    <t>Problème de comportement signalé de nouveau.</t>
  </si>
  <si>
    <t>R012</t>
  </si>
  <si>
    <t>31/03/2026</t>
  </si>
  <si>
    <t>Panne mécanique en ligne.</t>
  </si>
  <si>
    <t>R013</t>
  </si>
  <si>
    <t>02/04/2026</t>
  </si>
  <si>
    <t>Retard à l'arrêt Porte d'Issy.</t>
  </si>
  <si>
    <t>R014</t>
  </si>
  <si>
    <t>05/04/2026</t>
  </si>
  <si>
    <t>Climatisation non fonctionnelle.</t>
  </si>
  <si>
    <t>R015</t>
  </si>
  <si>
    <t>08/04/2026</t>
  </si>
  <si>
    <t>Autre : demande d'info sur un changement de trajet.</t>
  </si>
  <si>
    <t>TABLEAU DE SUIVI — Vue aplatie des réclamations</t>
  </si>
  <si>
    <t>Cette feuille NE stocke AUCUNE donnée : elle les reconstitue depuis la table 'reclamations' via des formules XLOOKUP (équivalent jointure). Si une donnée change dans une table source (ex. nom d'un réclamant), elle est automatiquement mise à jour ici.</t>
  </si>
  <si>
    <t>date</t>
  </si>
  <si>
    <t>réclamant</t>
  </si>
  <si>
    <t>ligne (n°)</t>
  </si>
  <si>
    <t>nom ligne</t>
  </si>
  <si>
    <t>prestataire</t>
  </si>
  <si>
    <t>motif</t>
  </si>
  <si>
    <t>statut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</si>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</sst>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20"/>
      <color rgb="FF1E3A5F"/>
      <name val="Arial"/>
      <charset val="1"/>
    </font>
    <font>
      <i/>
      <sz val="12"/>
      <color rgb="FF757575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b/>
      <sz val="16"/>
      <color rgb="FF1E3A5F"/>
      <name val="Arial"/>
      <charset val="1"/>
    </font>
    <font>
      <i/>
      <sz val="10"/>
      <color rgb="FF757575"/>
      <name val="Arial"/>
      <charset val="1"/>
    </font>
    <font>
      <b/>
      <sz val="11"/>
      <color rgb="FFA16207"/>
      <name val="Arial"/>
      <charset val="1"/>
    </font>
    <font>
      <b/>
      <sz val="11"/>
      <color rgb="FF15803D"/>
      <name val="Arial"/>
      <charset val="1"/>
    </font>
    <font>
      <b/>
      <sz val="11"/>
      <color rgb="FF6B21A8"/>
      <name val="Arial"/>
      <charset val="1"/>
    </font>
    <font>
      <sz val="10"/>
      <name val="Arial"/>
      <family val="2"/>
    </font>
    <font>
      <b/>
      <sz val="13"/>
      <color rgb="FF1E40AF"/>
      <name val="Arial"/>
      <charset val="1"/>
    </font>
    <font>
      <i/>
      <sz val="9"/>
      <color rgb="FF757575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D8A8"/>
        <bgColor rgb="FFFFFF99"/>
      </patternFill>
    </fill>
    <fill>
      <patternFill patternType="solid">
        <fgColor rgb="FFB2F2BB"/>
        <bgColor rgb="FFCCFFFF"/>
      </patternFill>
    </fill>
    <fill>
      <patternFill patternType="solid">
        <fgColor rgb="FFD0BFFF"/>
        <bgColor rgb="FFCCCCCC"/>
      </patternFill>
    </fill>
    <fill>
      <patternFill patternType="solid">
        <fgColor rgb="FFA5D8FF"/>
        <bgColor rgb="FFCCCCCC"/>
      </patternFill>
    </fill>
    <fill>
      <patternFill patternType="solid">
        <fgColor rgb="FFF9FAFB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4" fillId="0" borderId="0" xfId="0" applyFont="1" applyAlignment="1">
      <alignment vertical="center" wrapText="1"/>
    </xf>
    <xf numFmtId="0" fontId="13" fillId="6" borderId="0" xfId="0" applyFont="1" applyFill="1"/>
    <xf numFmtId="0" fontId="11" fillId="5" borderId="0" xfId="0" applyFont="1" applyFill="1"/>
    <xf numFmtId="0" fontId="10" fillId="4" borderId="0" xfId="0" applyFont="1" applyFill="1"/>
    <xf numFmtId="0" fontId="9" fillId="3" borderId="0" xfId="0" applyFont="1" applyFill="1"/>
    <xf numFmtId="0" fontId="8" fillId="0" borderId="0" xfId="0" applyFont="1"/>
    <xf numFmtId="0" fontId="7" fillId="0" borderId="0" xfId="0" applyFont="1"/>
    <xf numFmtId="0" fontId="4" fillId="2" borderId="0" xfId="0" applyFont="1" applyFill="1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A16207"/>
      <rgbColor rgb="FF6B21A8"/>
      <rgbColor rgb="FF008080"/>
      <rgbColor rgb="FFCCCCCC"/>
      <rgbColor rgb="FF757575"/>
      <rgbColor rgb="FF9999FF"/>
      <rgbColor rgb="FF993366"/>
      <rgbColor rgb="FFF9FAFB"/>
      <rgbColor rgb="FFCCFFFF"/>
      <rgbColor rgb="FF660066"/>
      <rgbColor rgb="FFFF8080"/>
      <rgbColor rgb="FF0066CC"/>
      <rgbColor rgb="FFD0BF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2F2BB"/>
      <rgbColor rgb="FFFFFF99"/>
      <rgbColor rgb="FFA5D8FF"/>
      <rgbColor rgb="FFFF99CC"/>
      <rgbColor rgb="FFCC99FF"/>
      <rgbColor rgb="FFFFD8A8"/>
      <rgbColor rgb="FF3366FF"/>
      <rgbColor rgb="FF4A9EED"/>
      <rgbColor rgb="FF99CC00"/>
      <rgbColor rgb="FFFFD43B"/>
      <rgbColor rgb="FFF59E0B"/>
      <rgbColor rgb="FFFF6600"/>
      <rgbColor rgb="FF8B5CF6"/>
      <rgbColor rgb="FF969696"/>
      <rgbColor rgb="FF1E3A5F"/>
      <rgbColor rgb="FF22C55E"/>
      <rgbColor rgb="FF003300"/>
      <rgbColor rgb="FF333300"/>
      <rgbColor rgb="FF993300"/>
      <rgbColor rgb="FF993366"/>
      <rgbColor rgb="FF1E40A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43B"/>
  </sheetPr>
  <dimension ref="A1:F42"/>
  <sheetViews>
    <sheetView showGridLines="0" tabSelected="1" zoomScaleNormal="100" workbookViewId="0">
      <selection activeCell="B27" sqref="B27"/>
    </sheetView>
  </sheetViews>
  <sheetFormatPr baseColWidth="10" defaultColWidth="8.6640625" defaultRowHeight="14.4" x14ac:dyDescent="0.3"/>
  <cols>
    <col min="1" max="1" width="28" customWidth="1"/>
    <col min="2" max="2" width="50" customWidth="1"/>
    <col min="3" max="6" width="25" customWidth="1"/>
  </cols>
  <sheetData>
    <row r="1" spans="1:6" ht="27.75" customHeight="1" x14ac:dyDescent="0.4">
      <c r="A1" s="10" t="s">
        <v>0</v>
      </c>
      <c r="B1" s="10"/>
      <c r="C1" s="10"/>
      <c r="D1" s="10"/>
      <c r="E1" s="10"/>
      <c r="F1" s="10"/>
    </row>
    <row r="2" spans="1:6" ht="15.6" x14ac:dyDescent="0.3">
      <c r="A2" s="9" t="s">
        <v>1</v>
      </c>
      <c r="B2" s="9"/>
      <c r="C2" s="9"/>
      <c r="D2" s="9"/>
      <c r="E2" s="9"/>
      <c r="F2" s="9"/>
    </row>
    <row r="3" spans="1:6" ht="21.75" customHeight="1" x14ac:dyDescent="0.3">
      <c r="A3" s="11"/>
      <c r="B3" s="12"/>
    </row>
    <row r="4" spans="1:6" ht="21.75" customHeight="1" x14ac:dyDescent="0.3">
      <c r="A4" s="8" t="s">
        <v>2</v>
      </c>
      <c r="B4" s="8"/>
      <c r="C4" s="8"/>
      <c r="D4" s="8"/>
      <c r="E4" s="8"/>
      <c r="F4" s="8"/>
    </row>
    <row r="5" spans="1:6" ht="21.75" customHeight="1" x14ac:dyDescent="0.3">
      <c r="A5" s="13" t="s">
        <v>3</v>
      </c>
      <c r="B5" s="12" t="s">
        <v>4</v>
      </c>
    </row>
    <row r="6" spans="1:6" ht="21.75" customHeight="1" x14ac:dyDescent="0.3">
      <c r="A6" s="13" t="s">
        <v>5</v>
      </c>
      <c r="B6" s="12" t="s">
        <v>6</v>
      </c>
    </row>
    <row r="7" spans="1:6" ht="21.75" customHeight="1" x14ac:dyDescent="0.3">
      <c r="A7" s="13" t="s">
        <v>7</v>
      </c>
      <c r="B7" s="12" t="s">
        <v>8</v>
      </c>
    </row>
    <row r="8" spans="1:6" ht="21.75" customHeight="1" x14ac:dyDescent="0.3">
      <c r="A8" s="13" t="s">
        <v>9</v>
      </c>
      <c r="B8" s="12" t="s">
        <v>8</v>
      </c>
    </row>
    <row r="9" spans="1:6" ht="21.75" customHeight="1" x14ac:dyDescent="0.3">
      <c r="A9" s="13" t="s">
        <v>10</v>
      </c>
      <c r="B9" s="12" t="s">
        <v>11</v>
      </c>
    </row>
    <row r="10" spans="1:6" ht="21.75" customHeight="1" x14ac:dyDescent="0.3">
      <c r="A10" s="13" t="s">
        <v>12</v>
      </c>
      <c r="B10" s="12" t="s">
        <v>13</v>
      </c>
    </row>
    <row r="11" spans="1:6" ht="21.75" customHeight="1" x14ac:dyDescent="0.3">
      <c r="A11" s="13" t="s">
        <v>14</v>
      </c>
      <c r="B11" s="12" t="s">
        <v>15</v>
      </c>
    </row>
    <row r="12" spans="1:6" ht="21.75" customHeight="1" x14ac:dyDescent="0.3">
      <c r="A12" s="11"/>
      <c r="B12" s="12"/>
    </row>
    <row r="13" spans="1:6" ht="21.75" customHeight="1" x14ac:dyDescent="0.3">
      <c r="A13" s="8" t="s">
        <v>16</v>
      </c>
      <c r="B13" s="8"/>
      <c r="C13" s="8"/>
      <c r="D13" s="8"/>
      <c r="E13" s="8"/>
      <c r="F13" s="8"/>
    </row>
    <row r="14" spans="1:6" ht="21.75" customHeight="1" x14ac:dyDescent="0.3">
      <c r="A14" s="13" t="s">
        <v>17</v>
      </c>
      <c r="B14" s="12" t="s">
        <v>18</v>
      </c>
    </row>
    <row r="15" spans="1:6" ht="21.75" customHeight="1" x14ac:dyDescent="0.3">
      <c r="A15" s="13" t="s">
        <v>19</v>
      </c>
      <c r="B15" s="12" t="s">
        <v>20</v>
      </c>
    </row>
    <row r="16" spans="1:6" ht="21.75" customHeight="1" x14ac:dyDescent="0.3">
      <c r="A16" s="11"/>
      <c r="B16" s="12"/>
    </row>
    <row r="17" spans="1:6" ht="21.75" customHeight="1" x14ac:dyDescent="0.3">
      <c r="A17" s="8" t="s">
        <v>21</v>
      </c>
      <c r="B17" s="8"/>
      <c r="C17" s="8"/>
      <c r="D17" s="8"/>
      <c r="E17" s="8"/>
      <c r="F17" s="8"/>
    </row>
    <row r="18" spans="1:6" ht="21.75" customHeight="1" x14ac:dyDescent="0.3">
      <c r="A18" s="13" t="s">
        <v>22</v>
      </c>
      <c r="B18" s="12" t="s">
        <v>23</v>
      </c>
    </row>
    <row r="19" spans="1:6" ht="21.75" customHeight="1" x14ac:dyDescent="0.3">
      <c r="A19" s="13" t="s">
        <v>24</v>
      </c>
      <c r="B19" s="12" t="s">
        <v>25</v>
      </c>
    </row>
    <row r="20" spans="1:6" ht="21.75" customHeight="1" x14ac:dyDescent="0.3">
      <c r="A20" s="13" t="s">
        <v>26</v>
      </c>
      <c r="B20" s="12" t="s">
        <v>27</v>
      </c>
    </row>
    <row r="21" spans="1:6" ht="21.75" customHeight="1" x14ac:dyDescent="0.3"/>
    <row r="22" spans="1:6" ht="21.75" customHeight="1" x14ac:dyDescent="0.3"/>
    <row r="23" spans="1:6" ht="21.75" customHeight="1" x14ac:dyDescent="0.3">
      <c r="A23" s="8" t="s">
        <v>28</v>
      </c>
      <c r="B23" s="8"/>
      <c r="C23" s="8"/>
      <c r="D23" s="8"/>
      <c r="E23" s="8"/>
      <c r="F23" s="8"/>
    </row>
    <row r="24" spans="1:6" ht="21.75" customHeight="1" x14ac:dyDescent="0.3">
      <c r="A24" s="14" t="s">
        <v>29</v>
      </c>
      <c r="B24" s="14" t="s">
        <v>30</v>
      </c>
      <c r="C24" s="14" t="s">
        <v>31</v>
      </c>
      <c r="D24" s="14" t="s">
        <v>32</v>
      </c>
      <c r="E24" s="14" t="s">
        <v>33</v>
      </c>
      <c r="F24" s="14" t="s">
        <v>34</v>
      </c>
    </row>
    <row r="25" spans="1:6" ht="21.75" customHeight="1" x14ac:dyDescent="0.3">
      <c r="A25" s="15" t="s">
        <v>35</v>
      </c>
      <c r="B25" s="15" t="s">
        <v>36</v>
      </c>
      <c r="C25" s="15" t="s">
        <v>37</v>
      </c>
      <c r="D25" s="15" t="s">
        <v>38</v>
      </c>
      <c r="E25" s="15" t="s">
        <v>39</v>
      </c>
      <c r="F25" s="15" t="s">
        <v>40</v>
      </c>
    </row>
    <row r="26" spans="1:6" ht="21.75" customHeight="1" x14ac:dyDescent="0.3">
      <c r="A26" s="15" t="s">
        <v>41</v>
      </c>
      <c r="B26" s="15" t="s">
        <v>36</v>
      </c>
      <c r="C26" s="15" t="s">
        <v>42</v>
      </c>
      <c r="D26" s="15" t="s">
        <v>38</v>
      </c>
      <c r="E26" s="15" t="s">
        <v>43</v>
      </c>
      <c r="F26" s="15" t="s">
        <v>40</v>
      </c>
    </row>
    <row r="27" spans="1:6" ht="21.75" customHeight="1" x14ac:dyDescent="0.3">
      <c r="A27" s="15" t="s">
        <v>44</v>
      </c>
      <c r="B27" s="15" t="s">
        <v>45</v>
      </c>
      <c r="C27" s="15" t="s">
        <v>46</v>
      </c>
      <c r="D27" s="15" t="s">
        <v>47</v>
      </c>
      <c r="E27" s="15" t="s">
        <v>48</v>
      </c>
      <c r="F27" s="15" t="s">
        <v>49</v>
      </c>
    </row>
    <row r="28" spans="1:6" ht="21.75" customHeight="1" x14ac:dyDescent="0.3">
      <c r="A28" s="15" t="s">
        <v>50</v>
      </c>
      <c r="B28" s="15" t="s">
        <v>45</v>
      </c>
      <c r="C28" s="15" t="s">
        <v>51</v>
      </c>
      <c r="D28" s="15" t="s">
        <v>47</v>
      </c>
      <c r="E28" s="15" t="s">
        <v>48</v>
      </c>
      <c r="F28" s="15" t="s">
        <v>49</v>
      </c>
    </row>
    <row r="29" spans="1:6" ht="21.75" customHeight="1" x14ac:dyDescent="0.3">
      <c r="A29" s="15" t="s">
        <v>52</v>
      </c>
      <c r="B29" s="15" t="s">
        <v>45</v>
      </c>
      <c r="C29" s="15" t="s">
        <v>53</v>
      </c>
      <c r="D29" s="15" t="s">
        <v>54</v>
      </c>
      <c r="E29" s="15" t="s">
        <v>55</v>
      </c>
      <c r="F29" s="15" t="s">
        <v>40</v>
      </c>
    </row>
    <row r="30" spans="1:6" ht="21.75" customHeight="1" x14ac:dyDescent="0.3">
      <c r="A30" s="15" t="s">
        <v>56</v>
      </c>
      <c r="B30" s="15" t="s">
        <v>57</v>
      </c>
      <c r="C30" s="15" t="s">
        <v>58</v>
      </c>
      <c r="D30" s="15" t="s">
        <v>59</v>
      </c>
      <c r="E30" s="15" t="s">
        <v>60</v>
      </c>
      <c r="F30" s="15" t="s">
        <v>40</v>
      </c>
    </row>
    <row r="31" spans="1:6" ht="21.75" customHeight="1" x14ac:dyDescent="0.3">
      <c r="A31" s="15" t="s">
        <v>61</v>
      </c>
      <c r="B31" s="15" t="s">
        <v>57</v>
      </c>
      <c r="C31" s="15" t="s">
        <v>62</v>
      </c>
      <c r="D31" s="15" t="s">
        <v>59</v>
      </c>
      <c r="E31" s="15" t="s">
        <v>63</v>
      </c>
      <c r="F31" s="15" t="s">
        <v>40</v>
      </c>
    </row>
    <row r="32" spans="1:6" ht="21.75" customHeight="1" x14ac:dyDescent="0.3">
      <c r="A32" s="15" t="s">
        <v>64</v>
      </c>
      <c r="B32" s="15" t="s">
        <v>57</v>
      </c>
      <c r="C32" s="15" t="s">
        <v>65</v>
      </c>
      <c r="D32" s="15" t="s">
        <v>66</v>
      </c>
      <c r="E32" s="15" t="s">
        <v>67</v>
      </c>
      <c r="F32" s="15" t="s">
        <v>68</v>
      </c>
    </row>
    <row r="33" spans="1:6" ht="21.75" customHeight="1" x14ac:dyDescent="0.3">
      <c r="A33" s="15" t="s">
        <v>69</v>
      </c>
      <c r="B33" s="15" t="s">
        <v>70</v>
      </c>
      <c r="C33" s="15" t="s">
        <v>71</v>
      </c>
      <c r="D33" s="15" t="s">
        <v>72</v>
      </c>
      <c r="E33" s="15" t="s">
        <v>73</v>
      </c>
      <c r="F33" s="15" t="s">
        <v>74</v>
      </c>
    </row>
    <row r="34" spans="1:6" ht="21.75" customHeight="1" x14ac:dyDescent="0.3">
      <c r="A34" s="15" t="s">
        <v>75</v>
      </c>
      <c r="B34" s="15" t="s">
        <v>70</v>
      </c>
      <c r="C34" s="15" t="s">
        <v>76</v>
      </c>
      <c r="D34" s="15" t="s">
        <v>72</v>
      </c>
      <c r="E34" s="15" t="s">
        <v>73</v>
      </c>
      <c r="F34" s="15" t="s">
        <v>74</v>
      </c>
    </row>
    <row r="35" spans="1:6" ht="21.75" customHeight="1" x14ac:dyDescent="0.3">
      <c r="A35" s="15" t="s">
        <v>77</v>
      </c>
      <c r="B35" s="15" t="s">
        <v>78</v>
      </c>
      <c r="C35" s="15" t="s">
        <v>79</v>
      </c>
      <c r="D35" s="15" t="s">
        <v>80</v>
      </c>
      <c r="E35" s="15" t="s">
        <v>81</v>
      </c>
      <c r="F35" s="15" t="s">
        <v>82</v>
      </c>
    </row>
    <row r="36" spans="1:6" ht="21.75" customHeight="1" x14ac:dyDescent="0.3"/>
    <row r="37" spans="1:6" ht="21.75" customHeight="1" x14ac:dyDescent="0.3"/>
    <row r="38" spans="1:6" ht="21.75" customHeight="1" x14ac:dyDescent="0.3">
      <c r="A38" s="8" t="s">
        <v>83</v>
      </c>
      <c r="B38" s="8"/>
      <c r="C38" s="8"/>
      <c r="D38" s="8"/>
      <c r="E38" s="8"/>
      <c r="F38" s="8"/>
    </row>
    <row r="39" spans="1:6" ht="21.75" customHeight="1" x14ac:dyDescent="0.3">
      <c r="A39" s="14" t="s">
        <v>84</v>
      </c>
      <c r="B39" s="14" t="s">
        <v>5</v>
      </c>
      <c r="C39" s="14" t="s">
        <v>85</v>
      </c>
      <c r="D39" s="14" t="s">
        <v>86</v>
      </c>
    </row>
    <row r="40" spans="1:6" ht="21.75" customHeight="1" x14ac:dyDescent="0.3">
      <c r="A40" s="16" t="s">
        <v>8</v>
      </c>
      <c r="B40" s="16" t="s">
        <v>6</v>
      </c>
      <c r="C40" s="16" t="s">
        <v>87</v>
      </c>
      <c r="D40" s="16" t="s">
        <v>88</v>
      </c>
    </row>
    <row r="41" spans="1:6" ht="21.75" customHeight="1" x14ac:dyDescent="0.3"/>
    <row r="42" spans="1:6" ht="21.75" customHeight="1" x14ac:dyDescent="0.3"/>
  </sheetData>
  <mergeCells count="7">
    <mergeCell ref="A23:F23"/>
    <mergeCell ref="A38:F38"/>
    <mergeCell ref="A1:F1"/>
    <mergeCell ref="A2:F2"/>
    <mergeCell ref="A4:F4"/>
    <mergeCell ref="A13:F13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43B"/>
  </sheetPr>
  <dimension ref="A1:I44"/>
  <sheetViews>
    <sheetView showGridLines="0" zoomScaleNormal="100" workbookViewId="0">
      <pane ySplit="4" topLeftCell="A5" activePane="bottomLeft" state="frozen"/>
      <selection pane="bottomLeft" sqref="A1:I1"/>
    </sheetView>
  </sheetViews>
  <sheetFormatPr baseColWidth="10" defaultColWidth="8.6640625" defaultRowHeight="14.4" x14ac:dyDescent="0.3"/>
  <cols>
    <col min="1" max="1" width="18" customWidth="1"/>
    <col min="2" max="2" width="20" customWidth="1"/>
    <col min="3" max="3" width="10" customWidth="1"/>
    <col min="4" max="4" width="12" customWidth="1"/>
    <col min="5" max="5" width="25" customWidth="1"/>
    <col min="6" max="6" width="35" customWidth="1"/>
    <col min="7" max="7" width="30" customWidth="1"/>
    <col min="8" max="8" width="15" customWidth="1"/>
    <col min="9" max="9" width="22" customWidth="1"/>
  </cols>
  <sheetData>
    <row r="1" spans="1:9" ht="21" x14ac:dyDescent="0.4">
      <c r="A1" s="7" t="s">
        <v>89</v>
      </c>
      <c r="B1" s="7"/>
      <c r="C1" s="7"/>
      <c r="D1" s="7"/>
      <c r="E1" s="7"/>
      <c r="F1" s="7"/>
      <c r="G1" s="7"/>
      <c r="H1" s="7"/>
      <c r="I1" s="7"/>
    </row>
    <row r="2" spans="1:9" x14ac:dyDescent="0.3">
      <c r="A2" s="6" t="s">
        <v>90</v>
      </c>
      <c r="B2" s="6"/>
      <c r="C2" s="6"/>
      <c r="D2" s="6"/>
      <c r="E2" s="6"/>
      <c r="F2" s="6"/>
      <c r="G2" s="6"/>
      <c r="H2" s="6"/>
      <c r="I2" s="6"/>
    </row>
    <row r="4" spans="1:9" x14ac:dyDescent="0.3">
      <c r="A4" s="14" t="s">
        <v>91</v>
      </c>
      <c r="B4" s="14" t="s">
        <v>92</v>
      </c>
      <c r="C4" s="14" t="s">
        <v>30</v>
      </c>
      <c r="D4" s="14" t="s">
        <v>93</v>
      </c>
      <c r="E4" s="14" t="s">
        <v>94</v>
      </c>
      <c r="F4" s="14" t="s">
        <v>86</v>
      </c>
      <c r="G4" s="14" t="s">
        <v>95</v>
      </c>
      <c r="H4" s="14" t="s">
        <v>32</v>
      </c>
      <c r="I4" s="14" t="s">
        <v>96</v>
      </c>
    </row>
    <row r="5" spans="1:9" x14ac:dyDescent="0.3">
      <c r="A5" s="17" t="s">
        <v>44</v>
      </c>
      <c r="B5" s="15" t="s">
        <v>97</v>
      </c>
      <c r="C5" s="15" t="s">
        <v>98</v>
      </c>
      <c r="D5" s="15" t="s">
        <v>99</v>
      </c>
      <c r="E5" s="15" t="s">
        <v>100</v>
      </c>
      <c r="F5" s="15" t="s">
        <v>101</v>
      </c>
      <c r="G5" s="15" t="s">
        <v>102</v>
      </c>
      <c r="H5" s="15" t="s">
        <v>103</v>
      </c>
      <c r="I5" s="15" t="s">
        <v>104</v>
      </c>
    </row>
    <row r="6" spans="1:9" x14ac:dyDescent="0.3">
      <c r="A6" s="17" t="s">
        <v>44</v>
      </c>
      <c r="B6" s="15" t="s">
        <v>105</v>
      </c>
      <c r="C6" s="15" t="s">
        <v>98</v>
      </c>
      <c r="D6" s="15" t="s">
        <v>99</v>
      </c>
      <c r="E6" s="15"/>
      <c r="F6" s="15" t="s">
        <v>106</v>
      </c>
      <c r="G6" s="15" t="s">
        <v>107</v>
      </c>
      <c r="H6" s="15" t="s">
        <v>103</v>
      </c>
      <c r="I6" s="15" t="s">
        <v>108</v>
      </c>
    </row>
    <row r="7" spans="1:9" x14ac:dyDescent="0.3">
      <c r="A7" s="17" t="s">
        <v>44</v>
      </c>
      <c r="B7" s="15" t="s">
        <v>109</v>
      </c>
      <c r="C7" s="15" t="s">
        <v>98</v>
      </c>
      <c r="D7" s="15" t="s">
        <v>99</v>
      </c>
      <c r="E7" s="15"/>
      <c r="F7" s="15" t="s">
        <v>110</v>
      </c>
      <c r="G7" s="15" t="s">
        <v>107</v>
      </c>
      <c r="H7" s="15" t="s">
        <v>103</v>
      </c>
      <c r="I7" s="15" t="s">
        <v>111</v>
      </c>
    </row>
    <row r="8" spans="1:9" x14ac:dyDescent="0.3">
      <c r="A8" s="17" t="s">
        <v>44</v>
      </c>
      <c r="B8" s="15" t="s">
        <v>112</v>
      </c>
      <c r="C8" s="15" t="s">
        <v>98</v>
      </c>
      <c r="D8" s="15" t="s">
        <v>99</v>
      </c>
      <c r="E8" s="15" t="s">
        <v>113</v>
      </c>
      <c r="F8" s="15" t="s">
        <v>114</v>
      </c>
      <c r="G8" s="15" t="s">
        <v>115</v>
      </c>
      <c r="H8" s="15" t="s">
        <v>40</v>
      </c>
      <c r="I8" s="15" t="s">
        <v>116</v>
      </c>
    </row>
    <row r="9" spans="1:9" x14ac:dyDescent="0.3">
      <c r="A9" s="17" t="s">
        <v>44</v>
      </c>
      <c r="B9" s="15" t="s">
        <v>117</v>
      </c>
      <c r="C9" s="15" t="s">
        <v>84</v>
      </c>
      <c r="D9" s="15" t="s">
        <v>99</v>
      </c>
      <c r="E9" s="15"/>
      <c r="F9" s="15" t="s">
        <v>118</v>
      </c>
      <c r="G9" s="15" t="s">
        <v>119</v>
      </c>
      <c r="H9" s="15" t="s">
        <v>82</v>
      </c>
      <c r="I9" s="15" t="s">
        <v>120</v>
      </c>
    </row>
    <row r="10" spans="1:9" x14ac:dyDescent="0.3">
      <c r="A10" s="17" t="s">
        <v>50</v>
      </c>
      <c r="B10" s="15" t="s">
        <v>121</v>
      </c>
      <c r="C10" s="15" t="s">
        <v>98</v>
      </c>
      <c r="D10" s="15" t="s">
        <v>99</v>
      </c>
      <c r="E10" s="15" t="s">
        <v>100</v>
      </c>
      <c r="F10" s="15" t="s">
        <v>122</v>
      </c>
      <c r="G10" s="15" t="s">
        <v>123</v>
      </c>
      <c r="H10" s="15" t="s">
        <v>103</v>
      </c>
      <c r="I10" s="15" t="s">
        <v>124</v>
      </c>
    </row>
    <row r="11" spans="1:9" x14ac:dyDescent="0.3">
      <c r="A11" s="17" t="s">
        <v>50</v>
      </c>
      <c r="B11" s="15" t="s">
        <v>109</v>
      </c>
      <c r="C11" s="15" t="s">
        <v>98</v>
      </c>
      <c r="D11" s="15" t="s">
        <v>99</v>
      </c>
      <c r="E11" s="15"/>
      <c r="F11" s="15" t="s">
        <v>125</v>
      </c>
      <c r="G11" s="15" t="s">
        <v>107</v>
      </c>
      <c r="H11" s="15" t="s">
        <v>103</v>
      </c>
      <c r="I11" s="15" t="s">
        <v>126</v>
      </c>
    </row>
    <row r="12" spans="1:9" x14ac:dyDescent="0.3">
      <c r="A12" s="17" t="s">
        <v>50</v>
      </c>
      <c r="B12" s="15" t="s">
        <v>97</v>
      </c>
      <c r="C12" s="15" t="s">
        <v>98</v>
      </c>
      <c r="D12" s="15" t="s">
        <v>99</v>
      </c>
      <c r="E12" s="15" t="s">
        <v>127</v>
      </c>
      <c r="F12" s="15" t="s">
        <v>128</v>
      </c>
      <c r="G12" s="15" t="s">
        <v>129</v>
      </c>
      <c r="H12" s="15" t="s">
        <v>103</v>
      </c>
      <c r="I12" s="15" t="s">
        <v>104</v>
      </c>
    </row>
    <row r="13" spans="1:9" x14ac:dyDescent="0.3">
      <c r="A13" s="17" t="s">
        <v>50</v>
      </c>
      <c r="B13" s="15" t="s">
        <v>130</v>
      </c>
      <c r="C13" s="15" t="s">
        <v>131</v>
      </c>
      <c r="D13" s="15" t="s">
        <v>132</v>
      </c>
      <c r="E13" s="15"/>
      <c r="F13" s="15" t="s">
        <v>133</v>
      </c>
      <c r="G13" s="15" t="s">
        <v>134</v>
      </c>
      <c r="H13" s="15" t="s">
        <v>103</v>
      </c>
      <c r="I13" s="15" t="s">
        <v>135</v>
      </c>
    </row>
    <row r="14" spans="1:9" x14ac:dyDescent="0.3">
      <c r="A14" s="17" t="s">
        <v>50</v>
      </c>
      <c r="B14" s="15" t="s">
        <v>136</v>
      </c>
      <c r="C14" s="15" t="s">
        <v>131</v>
      </c>
      <c r="D14" s="15" t="s">
        <v>132</v>
      </c>
      <c r="E14" s="15"/>
      <c r="F14" s="15" t="s">
        <v>133</v>
      </c>
      <c r="G14" s="15" t="s">
        <v>134</v>
      </c>
      <c r="H14" s="15" t="s">
        <v>103</v>
      </c>
      <c r="I14" s="15" t="s">
        <v>137</v>
      </c>
    </row>
    <row r="15" spans="1:9" x14ac:dyDescent="0.3">
      <c r="A15" s="17" t="s">
        <v>52</v>
      </c>
      <c r="B15" s="15" t="s">
        <v>112</v>
      </c>
      <c r="C15" s="15" t="s">
        <v>98</v>
      </c>
      <c r="D15" s="15" t="s">
        <v>99</v>
      </c>
      <c r="E15" s="15" t="s">
        <v>100</v>
      </c>
      <c r="F15" s="15" t="s">
        <v>138</v>
      </c>
      <c r="G15" s="15" t="s">
        <v>139</v>
      </c>
      <c r="H15" s="15" t="s">
        <v>40</v>
      </c>
      <c r="I15" s="15" t="s">
        <v>116</v>
      </c>
    </row>
    <row r="16" spans="1:9" x14ac:dyDescent="0.3">
      <c r="A16" s="17" t="s">
        <v>52</v>
      </c>
      <c r="B16" s="15" t="s">
        <v>109</v>
      </c>
      <c r="C16" s="15" t="s">
        <v>98</v>
      </c>
      <c r="D16" s="15" t="s">
        <v>99</v>
      </c>
      <c r="E16" s="15" t="s">
        <v>140</v>
      </c>
      <c r="F16" s="15" t="s">
        <v>141</v>
      </c>
      <c r="G16" s="15" t="s">
        <v>142</v>
      </c>
      <c r="H16" s="15" t="s">
        <v>40</v>
      </c>
      <c r="I16" s="15" t="s">
        <v>143</v>
      </c>
    </row>
    <row r="17" spans="1:9" x14ac:dyDescent="0.3">
      <c r="A17" s="17" t="s">
        <v>52</v>
      </c>
      <c r="B17" s="15" t="s">
        <v>144</v>
      </c>
      <c r="C17" s="15" t="s">
        <v>98</v>
      </c>
      <c r="D17" s="15" t="s">
        <v>132</v>
      </c>
      <c r="E17" s="15"/>
      <c r="F17" s="15" t="s">
        <v>145</v>
      </c>
      <c r="G17" s="15" t="s">
        <v>146</v>
      </c>
      <c r="H17" s="15" t="s">
        <v>147</v>
      </c>
      <c r="I17" s="15" t="s">
        <v>148</v>
      </c>
    </row>
    <row r="18" spans="1:9" x14ac:dyDescent="0.3">
      <c r="A18" s="17" t="s">
        <v>52</v>
      </c>
      <c r="B18" s="15" t="s">
        <v>149</v>
      </c>
      <c r="C18" s="15" t="s">
        <v>98</v>
      </c>
      <c r="D18" s="15" t="s">
        <v>132</v>
      </c>
      <c r="E18" s="15"/>
      <c r="F18" s="15" t="s">
        <v>150</v>
      </c>
      <c r="G18" s="15" t="s">
        <v>151</v>
      </c>
      <c r="H18" s="15" t="s">
        <v>40</v>
      </c>
      <c r="I18" s="15" t="s">
        <v>152</v>
      </c>
    </row>
    <row r="19" spans="1:9" x14ac:dyDescent="0.3">
      <c r="A19" s="17" t="s">
        <v>52</v>
      </c>
      <c r="B19" s="15" t="s">
        <v>153</v>
      </c>
      <c r="C19" s="15" t="s">
        <v>98</v>
      </c>
      <c r="D19" s="15" t="s">
        <v>132</v>
      </c>
      <c r="E19" s="15"/>
      <c r="F19" s="15" t="s">
        <v>154</v>
      </c>
      <c r="G19" s="15" t="s">
        <v>155</v>
      </c>
      <c r="H19" s="15" t="s">
        <v>40</v>
      </c>
      <c r="I19" s="15" t="s">
        <v>156</v>
      </c>
    </row>
    <row r="20" spans="1:9" x14ac:dyDescent="0.3">
      <c r="A20" s="18" t="s">
        <v>56</v>
      </c>
      <c r="B20" s="15" t="s">
        <v>157</v>
      </c>
      <c r="C20" s="15" t="s">
        <v>98</v>
      </c>
      <c r="D20" s="15" t="s">
        <v>99</v>
      </c>
      <c r="E20" s="15" t="s">
        <v>100</v>
      </c>
      <c r="F20" s="15" t="s">
        <v>158</v>
      </c>
      <c r="G20" s="15" t="s">
        <v>159</v>
      </c>
      <c r="H20" s="15" t="s">
        <v>40</v>
      </c>
      <c r="I20" s="15" t="s">
        <v>160</v>
      </c>
    </row>
    <row r="21" spans="1:9" x14ac:dyDescent="0.3">
      <c r="A21" s="18" t="s">
        <v>56</v>
      </c>
      <c r="B21" s="15" t="s">
        <v>161</v>
      </c>
      <c r="C21" s="15" t="s">
        <v>98</v>
      </c>
      <c r="D21" s="15" t="s">
        <v>99</v>
      </c>
      <c r="E21" s="15" t="s">
        <v>140</v>
      </c>
      <c r="F21" s="15" t="s">
        <v>162</v>
      </c>
      <c r="G21" s="15" t="s">
        <v>163</v>
      </c>
      <c r="H21" s="15" t="s">
        <v>40</v>
      </c>
      <c r="I21" s="15" t="s">
        <v>164</v>
      </c>
    </row>
    <row r="22" spans="1:9" ht="26.4" x14ac:dyDescent="0.3">
      <c r="A22" s="18" t="s">
        <v>56</v>
      </c>
      <c r="B22" s="15" t="s">
        <v>165</v>
      </c>
      <c r="C22" s="15" t="s">
        <v>98</v>
      </c>
      <c r="D22" s="15" t="s">
        <v>99</v>
      </c>
      <c r="E22" s="15"/>
      <c r="F22" s="15" t="s">
        <v>166</v>
      </c>
      <c r="G22" s="15" t="s">
        <v>167</v>
      </c>
      <c r="H22" s="15" t="s">
        <v>40</v>
      </c>
      <c r="I22" s="15" t="s">
        <v>168</v>
      </c>
    </row>
    <row r="23" spans="1:9" x14ac:dyDescent="0.3">
      <c r="A23" s="18" t="s">
        <v>61</v>
      </c>
      <c r="B23" s="15" t="s">
        <v>169</v>
      </c>
      <c r="C23" s="15" t="s">
        <v>98</v>
      </c>
      <c r="D23" s="15" t="s">
        <v>99</v>
      </c>
      <c r="E23" s="15" t="s">
        <v>100</v>
      </c>
      <c r="F23" s="15" t="s">
        <v>170</v>
      </c>
      <c r="G23" s="15" t="s">
        <v>171</v>
      </c>
      <c r="H23" s="15" t="s">
        <v>40</v>
      </c>
      <c r="I23" s="15" t="s">
        <v>172</v>
      </c>
    </row>
    <row r="24" spans="1:9" x14ac:dyDescent="0.3">
      <c r="A24" s="18" t="s">
        <v>61</v>
      </c>
      <c r="B24" s="15" t="s">
        <v>161</v>
      </c>
      <c r="C24" s="15" t="s">
        <v>98</v>
      </c>
      <c r="D24" s="15" t="s">
        <v>99</v>
      </c>
      <c r="E24" s="15" t="s">
        <v>140</v>
      </c>
      <c r="F24" s="15" t="s">
        <v>173</v>
      </c>
      <c r="G24" s="15" t="s">
        <v>174</v>
      </c>
      <c r="H24" s="15" t="s">
        <v>40</v>
      </c>
      <c r="I24" s="15" t="s">
        <v>175</v>
      </c>
    </row>
    <row r="25" spans="1:9" x14ac:dyDescent="0.3">
      <c r="A25" s="18" t="s">
        <v>61</v>
      </c>
      <c r="B25" s="15" t="s">
        <v>176</v>
      </c>
      <c r="C25" s="15" t="s">
        <v>131</v>
      </c>
      <c r="D25" s="15" t="s">
        <v>99</v>
      </c>
      <c r="E25" s="15"/>
      <c r="F25" s="15" t="s">
        <v>177</v>
      </c>
      <c r="G25" s="15" t="s">
        <v>178</v>
      </c>
      <c r="H25" s="15" t="s">
        <v>40</v>
      </c>
      <c r="I25" s="15" t="s">
        <v>179</v>
      </c>
    </row>
    <row r="26" spans="1:9" x14ac:dyDescent="0.3">
      <c r="A26" s="18" t="s">
        <v>64</v>
      </c>
      <c r="B26" s="15" t="s">
        <v>180</v>
      </c>
      <c r="C26" s="15" t="s">
        <v>98</v>
      </c>
      <c r="D26" s="15" t="s">
        <v>99</v>
      </c>
      <c r="E26" s="15" t="s">
        <v>100</v>
      </c>
      <c r="F26" s="15" t="s">
        <v>181</v>
      </c>
      <c r="G26" s="15" t="s">
        <v>182</v>
      </c>
      <c r="H26" s="15" t="s">
        <v>66</v>
      </c>
      <c r="I26" s="15" t="s">
        <v>183</v>
      </c>
    </row>
    <row r="27" spans="1:9" x14ac:dyDescent="0.3">
      <c r="A27" s="18" t="s">
        <v>64</v>
      </c>
      <c r="B27" s="15" t="s">
        <v>109</v>
      </c>
      <c r="C27" s="15" t="s">
        <v>98</v>
      </c>
      <c r="D27" s="15" t="s">
        <v>99</v>
      </c>
      <c r="E27" s="15"/>
      <c r="F27" s="15" t="s">
        <v>184</v>
      </c>
      <c r="G27" s="15" t="s">
        <v>107</v>
      </c>
      <c r="H27" s="15" t="s">
        <v>185</v>
      </c>
      <c r="I27" s="15" t="s">
        <v>186</v>
      </c>
    </row>
    <row r="28" spans="1:9" x14ac:dyDescent="0.3">
      <c r="A28" s="18" t="s">
        <v>64</v>
      </c>
      <c r="B28" s="15" t="s">
        <v>187</v>
      </c>
      <c r="C28" s="15" t="s">
        <v>98</v>
      </c>
      <c r="D28" s="15" t="s">
        <v>99</v>
      </c>
      <c r="E28" s="15"/>
      <c r="F28" s="15" t="s">
        <v>188</v>
      </c>
      <c r="G28" s="15" t="s">
        <v>107</v>
      </c>
      <c r="H28" s="15" t="s">
        <v>185</v>
      </c>
      <c r="I28" s="15" t="s">
        <v>189</v>
      </c>
    </row>
    <row r="29" spans="1:9" x14ac:dyDescent="0.3">
      <c r="A29" s="18" t="s">
        <v>64</v>
      </c>
      <c r="B29" s="15" t="s">
        <v>190</v>
      </c>
      <c r="C29" s="15" t="s">
        <v>98</v>
      </c>
      <c r="D29" s="15" t="s">
        <v>99</v>
      </c>
      <c r="E29" s="15" t="s">
        <v>140</v>
      </c>
      <c r="F29" s="15" t="s">
        <v>191</v>
      </c>
      <c r="G29" s="15" t="s">
        <v>192</v>
      </c>
      <c r="H29" s="15" t="s">
        <v>185</v>
      </c>
      <c r="I29" s="15" t="s">
        <v>193</v>
      </c>
    </row>
    <row r="30" spans="1:9" x14ac:dyDescent="0.3">
      <c r="A30" s="19" t="s">
        <v>69</v>
      </c>
      <c r="B30" s="15" t="s">
        <v>194</v>
      </c>
      <c r="C30" s="15" t="s">
        <v>98</v>
      </c>
      <c r="D30" s="15" t="s">
        <v>99</v>
      </c>
      <c r="E30" s="15" t="s">
        <v>100</v>
      </c>
      <c r="F30" s="15" t="s">
        <v>195</v>
      </c>
      <c r="G30" s="15" t="s">
        <v>196</v>
      </c>
      <c r="H30" s="15" t="s">
        <v>82</v>
      </c>
      <c r="I30" s="15" t="s">
        <v>197</v>
      </c>
    </row>
    <row r="31" spans="1:9" x14ac:dyDescent="0.3">
      <c r="A31" s="19" t="s">
        <v>69</v>
      </c>
      <c r="B31" s="15" t="s">
        <v>109</v>
      </c>
      <c r="C31" s="15" t="s">
        <v>98</v>
      </c>
      <c r="D31" s="15" t="s">
        <v>99</v>
      </c>
      <c r="E31" s="15"/>
      <c r="F31" s="15" t="s">
        <v>198</v>
      </c>
      <c r="G31" s="15" t="s">
        <v>107</v>
      </c>
      <c r="H31" s="15" t="s">
        <v>199</v>
      </c>
      <c r="I31" s="15" t="s">
        <v>186</v>
      </c>
    </row>
    <row r="32" spans="1:9" x14ac:dyDescent="0.3">
      <c r="A32" s="19" t="s">
        <v>69</v>
      </c>
      <c r="B32" s="15" t="s">
        <v>187</v>
      </c>
      <c r="C32" s="15" t="s">
        <v>98</v>
      </c>
      <c r="D32" s="15" t="s">
        <v>99</v>
      </c>
      <c r="E32" s="15"/>
      <c r="F32" s="15" t="s">
        <v>188</v>
      </c>
      <c r="G32" s="15" t="s">
        <v>107</v>
      </c>
      <c r="H32" s="15" t="s">
        <v>199</v>
      </c>
      <c r="I32" s="15" t="s">
        <v>200</v>
      </c>
    </row>
    <row r="33" spans="1:9" x14ac:dyDescent="0.3">
      <c r="A33" s="19" t="s">
        <v>69</v>
      </c>
      <c r="B33" s="15" t="s">
        <v>190</v>
      </c>
      <c r="C33" s="15" t="s">
        <v>98</v>
      </c>
      <c r="D33" s="15" t="s">
        <v>132</v>
      </c>
      <c r="E33" s="15"/>
      <c r="F33" s="15" t="s">
        <v>201</v>
      </c>
      <c r="G33" s="15" t="s">
        <v>151</v>
      </c>
      <c r="H33" s="15" t="s">
        <v>199</v>
      </c>
      <c r="I33" s="15" t="s">
        <v>202</v>
      </c>
    </row>
    <row r="34" spans="1:9" x14ac:dyDescent="0.3">
      <c r="A34" s="19" t="s">
        <v>69</v>
      </c>
      <c r="B34" s="15" t="s">
        <v>203</v>
      </c>
      <c r="C34" s="15" t="s">
        <v>98</v>
      </c>
      <c r="D34" s="15" t="s">
        <v>132</v>
      </c>
      <c r="E34" s="15"/>
      <c r="F34" s="15" t="s">
        <v>204</v>
      </c>
      <c r="G34" s="15" t="s">
        <v>155</v>
      </c>
      <c r="H34" s="15" t="s">
        <v>199</v>
      </c>
      <c r="I34" s="15" t="s">
        <v>205</v>
      </c>
    </row>
    <row r="35" spans="1:9" x14ac:dyDescent="0.3">
      <c r="A35" s="19" t="s">
        <v>69</v>
      </c>
      <c r="B35" s="15" t="s">
        <v>206</v>
      </c>
      <c r="C35" s="15" t="s">
        <v>84</v>
      </c>
      <c r="D35" s="15" t="s">
        <v>99</v>
      </c>
      <c r="E35" s="15" t="s">
        <v>207</v>
      </c>
      <c r="F35" s="15" t="s">
        <v>208</v>
      </c>
      <c r="G35" s="15" t="s">
        <v>119</v>
      </c>
      <c r="H35" s="15" t="s">
        <v>82</v>
      </c>
      <c r="I35" s="15" t="s">
        <v>209</v>
      </c>
    </row>
    <row r="36" spans="1:9" x14ac:dyDescent="0.3">
      <c r="A36" s="19" t="s">
        <v>75</v>
      </c>
      <c r="B36" s="15" t="s">
        <v>210</v>
      </c>
      <c r="C36" s="15" t="s">
        <v>98</v>
      </c>
      <c r="D36" s="15" t="s">
        <v>99</v>
      </c>
      <c r="E36" s="15" t="s">
        <v>100</v>
      </c>
      <c r="F36" s="15" t="s">
        <v>211</v>
      </c>
      <c r="G36" s="15" t="s">
        <v>212</v>
      </c>
      <c r="H36" s="15" t="s">
        <v>82</v>
      </c>
      <c r="I36" s="15" t="s">
        <v>213</v>
      </c>
    </row>
    <row r="37" spans="1:9" x14ac:dyDescent="0.3">
      <c r="A37" s="19" t="s">
        <v>75</v>
      </c>
      <c r="B37" s="15" t="s">
        <v>214</v>
      </c>
      <c r="C37" s="15" t="s">
        <v>84</v>
      </c>
      <c r="D37" s="15" t="s">
        <v>99</v>
      </c>
      <c r="E37" s="15" t="s">
        <v>215</v>
      </c>
      <c r="F37" s="15" t="s">
        <v>216</v>
      </c>
      <c r="G37" s="15" t="s">
        <v>119</v>
      </c>
      <c r="H37" s="15" t="s">
        <v>199</v>
      </c>
      <c r="I37" s="15" t="s">
        <v>209</v>
      </c>
    </row>
    <row r="38" spans="1:9" x14ac:dyDescent="0.3">
      <c r="A38" s="19" t="s">
        <v>75</v>
      </c>
      <c r="B38" s="15" t="s">
        <v>194</v>
      </c>
      <c r="C38" s="15" t="s">
        <v>98</v>
      </c>
      <c r="D38" s="15" t="s">
        <v>99</v>
      </c>
      <c r="E38" s="15" t="s">
        <v>217</v>
      </c>
      <c r="F38" s="15" t="s">
        <v>218</v>
      </c>
      <c r="G38" s="15" t="s">
        <v>219</v>
      </c>
      <c r="H38" s="15" t="s">
        <v>199</v>
      </c>
      <c r="I38" s="15" t="s">
        <v>197</v>
      </c>
    </row>
    <row r="39" spans="1:9" x14ac:dyDescent="0.3">
      <c r="A39" s="19" t="s">
        <v>75</v>
      </c>
      <c r="B39" s="15" t="s">
        <v>97</v>
      </c>
      <c r="C39" s="15" t="s">
        <v>98</v>
      </c>
      <c r="D39" s="15" t="s">
        <v>99</v>
      </c>
      <c r="E39" s="15" t="s">
        <v>127</v>
      </c>
      <c r="F39" s="15" t="s">
        <v>220</v>
      </c>
      <c r="G39" s="15" t="s">
        <v>129</v>
      </c>
      <c r="H39" s="15" t="s">
        <v>199</v>
      </c>
      <c r="I39" s="15" t="s">
        <v>104</v>
      </c>
    </row>
    <row r="40" spans="1:9" x14ac:dyDescent="0.3">
      <c r="A40" s="19" t="s">
        <v>75</v>
      </c>
      <c r="B40" s="15" t="s">
        <v>157</v>
      </c>
      <c r="C40" s="15" t="s">
        <v>98</v>
      </c>
      <c r="D40" s="15" t="s">
        <v>99</v>
      </c>
      <c r="E40" s="15" t="s">
        <v>221</v>
      </c>
      <c r="F40" s="15" t="s">
        <v>222</v>
      </c>
      <c r="G40" s="15" t="s">
        <v>223</v>
      </c>
      <c r="H40" s="15" t="s">
        <v>199</v>
      </c>
      <c r="I40" s="15" t="s">
        <v>160</v>
      </c>
    </row>
    <row r="41" spans="1:9" ht="26.4" x14ac:dyDescent="0.3">
      <c r="A41" s="19" t="s">
        <v>75</v>
      </c>
      <c r="B41" s="15" t="s">
        <v>169</v>
      </c>
      <c r="C41" s="15" t="s">
        <v>98</v>
      </c>
      <c r="D41" s="15" t="s">
        <v>99</v>
      </c>
      <c r="E41" s="15" t="s">
        <v>224</v>
      </c>
      <c r="F41" s="15" t="s">
        <v>225</v>
      </c>
      <c r="G41" s="15" t="s">
        <v>226</v>
      </c>
      <c r="H41" s="15" t="s">
        <v>227</v>
      </c>
      <c r="I41" s="15" t="s">
        <v>172</v>
      </c>
    </row>
    <row r="42" spans="1:9" x14ac:dyDescent="0.3">
      <c r="A42" s="19" t="s">
        <v>75</v>
      </c>
      <c r="B42" s="15" t="s">
        <v>180</v>
      </c>
      <c r="C42" s="15" t="s">
        <v>98</v>
      </c>
      <c r="D42" s="15" t="s">
        <v>99</v>
      </c>
      <c r="E42" s="15" t="s">
        <v>228</v>
      </c>
      <c r="F42" s="15" t="s">
        <v>229</v>
      </c>
      <c r="G42" s="15" t="s">
        <v>230</v>
      </c>
      <c r="H42" s="15" t="s">
        <v>199</v>
      </c>
      <c r="I42" s="15" t="s">
        <v>183</v>
      </c>
    </row>
    <row r="43" spans="1:9" x14ac:dyDescent="0.3">
      <c r="A43" s="19" t="s">
        <v>75</v>
      </c>
      <c r="B43" s="15" t="s">
        <v>231</v>
      </c>
      <c r="C43" s="15" t="s">
        <v>84</v>
      </c>
      <c r="D43" s="15" t="s">
        <v>132</v>
      </c>
      <c r="E43" s="15" t="s">
        <v>232</v>
      </c>
      <c r="F43" s="15" t="s">
        <v>233</v>
      </c>
      <c r="G43" s="15" t="s">
        <v>119</v>
      </c>
      <c r="H43" s="15" t="s">
        <v>199</v>
      </c>
      <c r="I43" s="15" t="s">
        <v>234</v>
      </c>
    </row>
    <row r="44" spans="1:9" ht="26.4" x14ac:dyDescent="0.3">
      <c r="A44" s="19" t="s">
        <v>75</v>
      </c>
      <c r="B44" s="15" t="s">
        <v>235</v>
      </c>
      <c r="C44" s="15" t="s">
        <v>236</v>
      </c>
      <c r="D44" s="15" t="s">
        <v>132</v>
      </c>
      <c r="E44" s="15"/>
      <c r="F44" s="15" t="s">
        <v>237</v>
      </c>
      <c r="G44" s="15" t="s">
        <v>238</v>
      </c>
      <c r="H44" s="15" t="s">
        <v>199</v>
      </c>
      <c r="I44" s="15" t="s">
        <v>239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9E0B"/>
  </sheetPr>
  <dimension ref="A1:E10"/>
  <sheetViews>
    <sheetView showGridLines="0" zoomScaleNormal="100" workbookViewId="0">
      <pane ySplit="2" topLeftCell="A3" activePane="bottomLeft" state="frozen"/>
      <selection pane="bottomLeft" sqref="A1:E1"/>
    </sheetView>
  </sheetViews>
  <sheetFormatPr baseColWidth="10" defaultColWidth="8.6640625" defaultRowHeight="14.4" x14ac:dyDescent="0.3"/>
  <cols>
    <col min="1" max="2" width="12" customWidth="1"/>
    <col min="3" max="3" width="40" customWidth="1"/>
    <col min="4" max="4" width="15" customWidth="1"/>
    <col min="5" max="5" width="14" customWidth="1"/>
  </cols>
  <sheetData>
    <row r="1" spans="1:5" ht="21.75" customHeight="1" x14ac:dyDescent="0.3">
      <c r="A1" s="5" t="s">
        <v>240</v>
      </c>
      <c r="B1" s="5"/>
      <c r="C1" s="5"/>
      <c r="D1" s="5"/>
      <c r="E1" s="5"/>
    </row>
    <row r="2" spans="1:5" x14ac:dyDescent="0.3">
      <c r="A2" s="14" t="s">
        <v>97</v>
      </c>
      <c r="B2" s="14" t="s">
        <v>105</v>
      </c>
      <c r="C2" s="14" t="s">
        <v>109</v>
      </c>
      <c r="D2" s="14" t="s">
        <v>112</v>
      </c>
      <c r="E2" s="14" t="s">
        <v>117</v>
      </c>
    </row>
    <row r="3" spans="1:5" x14ac:dyDescent="0.3">
      <c r="A3" s="20" t="s">
        <v>104</v>
      </c>
      <c r="B3" s="20" t="s">
        <v>108</v>
      </c>
      <c r="C3" s="20" t="s">
        <v>111</v>
      </c>
      <c r="D3" s="20" t="s">
        <v>116</v>
      </c>
      <c r="E3" s="20" t="s">
        <v>120</v>
      </c>
    </row>
    <row r="4" spans="1:5" x14ac:dyDescent="0.3">
      <c r="A4" s="20" t="s">
        <v>241</v>
      </c>
      <c r="B4" s="20" t="s">
        <v>242</v>
      </c>
      <c r="C4" s="20" t="s">
        <v>243</v>
      </c>
      <c r="D4" s="20" t="s">
        <v>244</v>
      </c>
      <c r="E4" s="20" t="s">
        <v>120</v>
      </c>
    </row>
    <row r="5" spans="1:5" x14ac:dyDescent="0.3">
      <c r="A5" s="20" t="s">
        <v>245</v>
      </c>
      <c r="B5" s="20" t="s">
        <v>246</v>
      </c>
      <c r="C5" s="20" t="s">
        <v>247</v>
      </c>
      <c r="D5" s="20" t="s">
        <v>116</v>
      </c>
      <c r="E5" s="20" t="s">
        <v>120</v>
      </c>
    </row>
    <row r="6" spans="1:5" x14ac:dyDescent="0.3">
      <c r="A6" s="20" t="s">
        <v>248</v>
      </c>
      <c r="B6" s="20" t="s">
        <v>249</v>
      </c>
      <c r="C6" s="20" t="s">
        <v>250</v>
      </c>
      <c r="D6" s="20" t="s">
        <v>116</v>
      </c>
      <c r="E6" s="20" t="s">
        <v>120</v>
      </c>
    </row>
    <row r="7" spans="1:5" x14ac:dyDescent="0.3">
      <c r="A7" s="20" t="s">
        <v>251</v>
      </c>
      <c r="B7" s="20" t="s">
        <v>252</v>
      </c>
      <c r="C7" s="20" t="s">
        <v>253</v>
      </c>
      <c r="D7" s="20" t="s">
        <v>244</v>
      </c>
      <c r="E7" s="20" t="s">
        <v>120</v>
      </c>
    </row>
    <row r="8" spans="1:5" x14ac:dyDescent="0.3">
      <c r="A8" s="20" t="s">
        <v>254</v>
      </c>
      <c r="B8" s="20" t="s">
        <v>255</v>
      </c>
      <c r="C8" s="20" t="s">
        <v>256</v>
      </c>
      <c r="D8" s="20" t="s">
        <v>116</v>
      </c>
      <c r="E8" s="20" t="s">
        <v>120</v>
      </c>
    </row>
    <row r="9" spans="1:5" x14ac:dyDescent="0.3">
      <c r="A9" s="20" t="s">
        <v>257</v>
      </c>
      <c r="B9" s="20" t="s">
        <v>258</v>
      </c>
      <c r="C9" s="20" t="s">
        <v>259</v>
      </c>
      <c r="D9" s="20" t="s">
        <v>244</v>
      </c>
      <c r="E9" s="20" t="s">
        <v>120</v>
      </c>
    </row>
    <row r="10" spans="1:5" x14ac:dyDescent="0.3">
      <c r="A10" s="20" t="s">
        <v>260</v>
      </c>
      <c r="B10" s="20" t="s">
        <v>261</v>
      </c>
      <c r="C10" s="20" t="s">
        <v>262</v>
      </c>
      <c r="D10" s="20" t="s">
        <v>244</v>
      </c>
      <c r="E10" s="20" t="s">
        <v>120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9E0B"/>
  </sheetPr>
  <dimension ref="A1:E10"/>
  <sheetViews>
    <sheetView showGridLines="0" zoomScaleNormal="100" workbookViewId="0">
      <pane ySplit="2" topLeftCell="A3" activePane="bottomLeft" state="frozen"/>
      <selection pane="bottomLeft" sqref="A1:E1"/>
    </sheetView>
  </sheetViews>
  <sheetFormatPr baseColWidth="10" defaultColWidth="8.6640625" defaultRowHeight="14.4" x14ac:dyDescent="0.3"/>
  <cols>
    <col min="1" max="1" width="12" customWidth="1"/>
    <col min="2" max="2" width="25" customWidth="1"/>
    <col min="3" max="3" width="12" customWidth="1"/>
    <col min="4" max="5" width="14" customWidth="1"/>
  </cols>
  <sheetData>
    <row r="1" spans="1:5" ht="21.75" customHeight="1" x14ac:dyDescent="0.3">
      <c r="A1" s="5" t="s">
        <v>263</v>
      </c>
      <c r="B1" s="5"/>
      <c r="C1" s="5"/>
      <c r="D1" s="5"/>
      <c r="E1" s="5"/>
    </row>
    <row r="2" spans="1:5" x14ac:dyDescent="0.3">
      <c r="A2" s="14" t="s">
        <v>121</v>
      </c>
      <c r="B2" s="14" t="s">
        <v>109</v>
      </c>
      <c r="C2" s="14" t="s">
        <v>97</v>
      </c>
      <c r="D2" s="14" t="s">
        <v>130</v>
      </c>
      <c r="E2" s="14" t="s">
        <v>136</v>
      </c>
    </row>
    <row r="3" spans="1:5" x14ac:dyDescent="0.3">
      <c r="A3" s="20" t="s">
        <v>124</v>
      </c>
      <c r="B3" s="20" t="s">
        <v>126</v>
      </c>
      <c r="C3" s="20" t="s">
        <v>104</v>
      </c>
      <c r="D3" s="20">
        <v>48.815600000000003</v>
      </c>
      <c r="E3" s="20">
        <v>2.25</v>
      </c>
    </row>
    <row r="4" spans="1:5" x14ac:dyDescent="0.3">
      <c r="A4" s="20" t="s">
        <v>264</v>
      </c>
      <c r="B4" s="20" t="s">
        <v>265</v>
      </c>
      <c r="C4" s="20" t="s">
        <v>104</v>
      </c>
      <c r="D4" s="20">
        <v>48.8033</v>
      </c>
      <c r="E4" s="20">
        <v>2.2639</v>
      </c>
    </row>
    <row r="5" spans="1:5" x14ac:dyDescent="0.3">
      <c r="A5" s="20" t="s">
        <v>266</v>
      </c>
      <c r="B5" s="20" t="s">
        <v>267</v>
      </c>
      <c r="C5" s="20" t="s">
        <v>104</v>
      </c>
      <c r="D5" s="20">
        <v>48.828299999999999</v>
      </c>
      <c r="E5" s="20">
        <v>2.27</v>
      </c>
    </row>
    <row r="6" spans="1:5" x14ac:dyDescent="0.3">
      <c r="A6" s="20" t="s">
        <v>268</v>
      </c>
      <c r="B6" s="20" t="s">
        <v>269</v>
      </c>
      <c r="C6" s="20" t="s">
        <v>241</v>
      </c>
      <c r="D6" s="20">
        <v>48.829700000000003</v>
      </c>
      <c r="E6" s="20">
        <v>2.2307999999999999</v>
      </c>
    </row>
    <row r="7" spans="1:5" x14ac:dyDescent="0.3">
      <c r="A7" s="20" t="s">
        <v>270</v>
      </c>
      <c r="B7" s="20" t="s">
        <v>271</v>
      </c>
      <c r="C7" s="20" t="s">
        <v>241</v>
      </c>
      <c r="D7" s="20">
        <v>48.836100000000002</v>
      </c>
      <c r="E7" s="20">
        <v>2.2778</v>
      </c>
    </row>
    <row r="8" spans="1:5" x14ac:dyDescent="0.3">
      <c r="A8" s="20" t="s">
        <v>272</v>
      </c>
      <c r="B8" s="20" t="s">
        <v>273</v>
      </c>
      <c r="C8" s="20" t="s">
        <v>248</v>
      </c>
      <c r="D8" s="20">
        <v>48.812199999999997</v>
      </c>
      <c r="E8" s="20">
        <v>2.2400000000000002</v>
      </c>
    </row>
    <row r="9" spans="1:5" x14ac:dyDescent="0.3">
      <c r="A9" s="20" t="s">
        <v>274</v>
      </c>
      <c r="B9" s="20" t="s">
        <v>275</v>
      </c>
      <c r="C9" s="20" t="s">
        <v>248</v>
      </c>
      <c r="D9" s="20">
        <v>48.821399999999997</v>
      </c>
      <c r="E9" s="20">
        <v>2.2111000000000001</v>
      </c>
    </row>
    <row r="10" spans="1:5" x14ac:dyDescent="0.3">
      <c r="A10" s="20" t="s">
        <v>276</v>
      </c>
      <c r="B10" s="20" t="s">
        <v>277</v>
      </c>
      <c r="C10" s="20" t="s">
        <v>260</v>
      </c>
      <c r="D10" s="20">
        <v>48.804400000000001</v>
      </c>
      <c r="E10" s="20">
        <v>2.1905999999999999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A1:E5"/>
  <sheetViews>
    <sheetView showGridLines="0" zoomScaleNormal="100" workbookViewId="0">
      <pane ySplit="2" topLeftCell="A3" activePane="bottomLeft" state="frozen"/>
      <selection pane="bottomLeft" activeCell="B16" sqref="B16"/>
    </sheetView>
  </sheetViews>
  <sheetFormatPr baseColWidth="10" defaultColWidth="8.6640625" defaultRowHeight="14.4" x14ac:dyDescent="0.3"/>
  <cols>
    <col min="1" max="1" width="16" customWidth="1"/>
    <col min="2" max="2" width="20" customWidth="1"/>
    <col min="3" max="3" width="18" customWidth="1"/>
    <col min="4" max="4" width="28" customWidth="1"/>
    <col min="5" max="5" width="14" customWidth="1"/>
  </cols>
  <sheetData>
    <row r="1" spans="1:5" ht="21.75" customHeight="1" x14ac:dyDescent="0.3">
      <c r="A1" s="5" t="s">
        <v>278</v>
      </c>
      <c r="B1" s="5"/>
      <c r="C1" s="5"/>
      <c r="D1" s="5"/>
      <c r="E1" s="5"/>
    </row>
    <row r="2" spans="1:5" x14ac:dyDescent="0.3">
      <c r="A2" s="14" t="s">
        <v>112</v>
      </c>
      <c r="B2" s="14" t="s">
        <v>109</v>
      </c>
      <c r="C2" s="14" t="s">
        <v>144</v>
      </c>
      <c r="D2" s="14" t="s">
        <v>149</v>
      </c>
      <c r="E2" s="14" t="s">
        <v>153</v>
      </c>
    </row>
    <row r="3" spans="1:5" x14ac:dyDescent="0.3">
      <c r="A3" s="20" t="s">
        <v>116</v>
      </c>
      <c r="B3" s="20" t="s">
        <v>143</v>
      </c>
      <c r="C3" s="20" t="s">
        <v>279</v>
      </c>
      <c r="D3" s="20" t="s">
        <v>280</v>
      </c>
      <c r="E3" s="20" t="s">
        <v>281</v>
      </c>
    </row>
    <row r="4" spans="1:5" x14ac:dyDescent="0.3">
      <c r="A4" s="20" t="s">
        <v>244</v>
      </c>
      <c r="B4" s="20" t="s">
        <v>282</v>
      </c>
      <c r="C4" s="20" t="s">
        <v>283</v>
      </c>
      <c r="D4" s="20" t="s">
        <v>284</v>
      </c>
      <c r="E4" s="20" t="s">
        <v>285</v>
      </c>
    </row>
    <row r="5" spans="1:5" x14ac:dyDescent="0.3">
      <c r="A5" s="20" t="s">
        <v>286</v>
      </c>
      <c r="B5" s="20" t="s">
        <v>287</v>
      </c>
      <c r="C5" s="20" t="s">
        <v>288</v>
      </c>
      <c r="D5" s="20" t="s">
        <v>289</v>
      </c>
      <c r="E5" s="20" t="s">
        <v>290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2C55E"/>
  </sheetPr>
  <dimension ref="A1:C12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4.4" x14ac:dyDescent="0.3"/>
  <cols>
    <col min="1" max="1" width="12" customWidth="1"/>
    <col min="2" max="2" width="30" customWidth="1"/>
    <col min="3" max="3" width="18" customWidth="1"/>
  </cols>
  <sheetData>
    <row r="1" spans="1:3" ht="21.75" customHeight="1" x14ac:dyDescent="0.3">
      <c r="A1" s="4" t="s">
        <v>291</v>
      </c>
      <c r="B1" s="4"/>
      <c r="C1" s="4"/>
    </row>
    <row r="2" spans="1:3" x14ac:dyDescent="0.3">
      <c r="A2" s="14" t="s">
        <v>157</v>
      </c>
      <c r="B2" s="14" t="s">
        <v>161</v>
      </c>
      <c r="C2" s="14" t="s">
        <v>165</v>
      </c>
    </row>
    <row r="3" spans="1:3" x14ac:dyDescent="0.3">
      <c r="A3" s="20" t="s">
        <v>160</v>
      </c>
      <c r="B3" s="20" t="s">
        <v>164</v>
      </c>
      <c r="C3" s="20" t="s">
        <v>168</v>
      </c>
    </row>
    <row r="4" spans="1:3" x14ac:dyDescent="0.3">
      <c r="A4" s="20" t="s">
        <v>292</v>
      </c>
      <c r="B4" s="20" t="s">
        <v>293</v>
      </c>
      <c r="C4" s="20" t="s">
        <v>168</v>
      </c>
    </row>
    <row r="5" spans="1:3" x14ac:dyDescent="0.3">
      <c r="A5" s="20" t="s">
        <v>294</v>
      </c>
      <c r="B5" s="20" t="s">
        <v>295</v>
      </c>
      <c r="C5" s="20" t="s">
        <v>168</v>
      </c>
    </row>
    <row r="6" spans="1:3" x14ac:dyDescent="0.3">
      <c r="A6" s="20" t="s">
        <v>296</v>
      </c>
      <c r="B6" s="20" t="s">
        <v>297</v>
      </c>
      <c r="C6" s="20" t="s">
        <v>298</v>
      </c>
    </row>
    <row r="7" spans="1:3" x14ac:dyDescent="0.3">
      <c r="A7" s="20" t="s">
        <v>299</v>
      </c>
      <c r="B7" s="20" t="s">
        <v>300</v>
      </c>
      <c r="C7" s="20" t="s">
        <v>301</v>
      </c>
    </row>
    <row r="8" spans="1:3" x14ac:dyDescent="0.3">
      <c r="A8" s="20" t="s">
        <v>302</v>
      </c>
      <c r="B8" s="20" t="s">
        <v>303</v>
      </c>
      <c r="C8" s="20" t="s">
        <v>301</v>
      </c>
    </row>
    <row r="9" spans="1:3" x14ac:dyDescent="0.3">
      <c r="A9" s="20" t="s">
        <v>304</v>
      </c>
      <c r="B9" s="20" t="s">
        <v>305</v>
      </c>
      <c r="C9" s="20" t="s">
        <v>306</v>
      </c>
    </row>
    <row r="10" spans="1:3" x14ac:dyDescent="0.3">
      <c r="A10" s="20" t="s">
        <v>307</v>
      </c>
      <c r="B10" s="20" t="s">
        <v>308</v>
      </c>
      <c r="C10" s="20" t="s">
        <v>306</v>
      </c>
    </row>
    <row r="11" spans="1:3" x14ac:dyDescent="0.3">
      <c r="A11" s="20" t="s">
        <v>309</v>
      </c>
      <c r="B11" s="20" t="s">
        <v>310</v>
      </c>
      <c r="C11" s="20" t="s">
        <v>306</v>
      </c>
    </row>
    <row r="12" spans="1:3" x14ac:dyDescent="0.3">
      <c r="A12" s="20" t="s">
        <v>311</v>
      </c>
      <c r="B12" s="20" t="s">
        <v>312</v>
      </c>
      <c r="C12" s="20" t="s">
        <v>312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2C55E"/>
  </sheetPr>
  <dimension ref="A1:C7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4.4" x14ac:dyDescent="0.3"/>
  <cols>
    <col min="1" max="1" width="12" customWidth="1"/>
    <col min="2" max="2" width="25" customWidth="1"/>
    <col min="3" max="3" width="8" customWidth="1"/>
  </cols>
  <sheetData>
    <row r="1" spans="1:3" ht="21.75" customHeight="1" x14ac:dyDescent="0.3">
      <c r="A1" s="4" t="s">
        <v>313</v>
      </c>
      <c r="B1" s="4"/>
      <c r="C1" s="4"/>
    </row>
    <row r="2" spans="1:3" x14ac:dyDescent="0.3">
      <c r="A2" s="14" t="s">
        <v>169</v>
      </c>
      <c r="B2" s="14" t="s">
        <v>161</v>
      </c>
      <c r="C2" s="14" t="s">
        <v>176</v>
      </c>
    </row>
    <row r="3" spans="1:3" x14ac:dyDescent="0.3">
      <c r="A3" s="20" t="s">
        <v>172</v>
      </c>
      <c r="B3" s="20" t="s">
        <v>175</v>
      </c>
      <c r="C3" s="20">
        <v>1</v>
      </c>
    </row>
    <row r="4" spans="1:3" x14ac:dyDescent="0.3">
      <c r="A4" s="20" t="s">
        <v>314</v>
      </c>
      <c r="B4" s="20" t="s">
        <v>315</v>
      </c>
      <c r="C4" s="20">
        <v>2</v>
      </c>
    </row>
    <row r="5" spans="1:3" x14ac:dyDescent="0.3">
      <c r="A5" s="20" t="s">
        <v>316</v>
      </c>
      <c r="B5" s="20" t="s">
        <v>317</v>
      </c>
      <c r="C5" s="20">
        <v>3</v>
      </c>
    </row>
    <row r="6" spans="1:3" x14ac:dyDescent="0.3">
      <c r="A6" s="20" t="s">
        <v>318</v>
      </c>
      <c r="B6" s="20" t="s">
        <v>319</v>
      </c>
      <c r="C6" s="20">
        <v>4</v>
      </c>
    </row>
    <row r="7" spans="1:3" x14ac:dyDescent="0.3">
      <c r="A7" s="20" t="s">
        <v>320</v>
      </c>
      <c r="B7" s="20" t="s">
        <v>321</v>
      </c>
      <c r="C7" s="20">
        <v>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2C55E"/>
  </sheetPr>
  <dimension ref="A1:D6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5" customWidth="1"/>
    <col min="4" max="4" width="25" customWidth="1"/>
  </cols>
  <sheetData>
    <row r="1" spans="1:4" ht="21.75" customHeight="1" x14ac:dyDescent="0.3">
      <c r="A1" s="4" t="s">
        <v>322</v>
      </c>
      <c r="B1" s="4"/>
      <c r="C1" s="4"/>
      <c r="D1" s="4"/>
    </row>
    <row r="2" spans="1:4" x14ac:dyDescent="0.3">
      <c r="A2" s="14" t="s">
        <v>180</v>
      </c>
      <c r="B2" s="14" t="s">
        <v>109</v>
      </c>
      <c r="C2" s="14" t="s">
        <v>187</v>
      </c>
      <c r="D2" s="14" t="s">
        <v>190</v>
      </c>
    </row>
    <row r="3" spans="1:4" x14ac:dyDescent="0.3">
      <c r="A3" s="20" t="s">
        <v>183</v>
      </c>
      <c r="B3" s="20" t="s">
        <v>186</v>
      </c>
      <c r="C3" s="20" t="s">
        <v>189</v>
      </c>
      <c r="D3" s="20" t="s">
        <v>193</v>
      </c>
    </row>
    <row r="4" spans="1:4" x14ac:dyDescent="0.3">
      <c r="A4" s="20" t="s">
        <v>323</v>
      </c>
      <c r="B4" s="20" t="s">
        <v>324</v>
      </c>
      <c r="C4" s="20" t="s">
        <v>325</v>
      </c>
      <c r="D4" s="20" t="s">
        <v>326</v>
      </c>
    </row>
    <row r="5" spans="1:4" x14ac:dyDescent="0.3">
      <c r="A5" s="20" t="s">
        <v>327</v>
      </c>
      <c r="B5" s="20" t="s">
        <v>328</v>
      </c>
      <c r="C5" s="20" t="s">
        <v>329</v>
      </c>
      <c r="D5" s="20" t="s">
        <v>330</v>
      </c>
    </row>
    <row r="6" spans="1:4" x14ac:dyDescent="0.3">
      <c r="A6" s="20" t="s">
        <v>331</v>
      </c>
      <c r="B6" s="20" t="s">
        <v>332</v>
      </c>
      <c r="C6" s="20" t="s">
        <v>333</v>
      </c>
      <c r="D6" s="20" t="s">
        <v>334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B5CF6"/>
  </sheetPr>
  <dimension ref="A1:F10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4.4" x14ac:dyDescent="0.3"/>
  <cols>
    <col min="1" max="3" width="15" customWidth="1"/>
    <col min="4" max="4" width="25" customWidth="1"/>
    <col min="5" max="5" width="14" customWidth="1"/>
    <col min="6" max="6" width="15" customWidth="1"/>
  </cols>
  <sheetData>
    <row r="1" spans="1:6" ht="21.75" customHeight="1" x14ac:dyDescent="0.3">
      <c r="A1" s="3" t="s">
        <v>335</v>
      </c>
      <c r="B1" s="3"/>
      <c r="C1" s="3"/>
      <c r="D1" s="3"/>
      <c r="E1" s="3"/>
      <c r="F1" s="3"/>
    </row>
    <row r="2" spans="1:6" x14ac:dyDescent="0.3">
      <c r="A2" s="14" t="s">
        <v>194</v>
      </c>
      <c r="B2" s="14" t="s">
        <v>109</v>
      </c>
      <c r="C2" s="14" t="s">
        <v>187</v>
      </c>
      <c r="D2" s="14" t="s">
        <v>190</v>
      </c>
      <c r="E2" s="14" t="s">
        <v>203</v>
      </c>
      <c r="F2" s="14" t="s">
        <v>206</v>
      </c>
    </row>
    <row r="3" spans="1:6" x14ac:dyDescent="0.3">
      <c r="A3" s="20" t="s">
        <v>197</v>
      </c>
      <c r="B3" s="20" t="s">
        <v>186</v>
      </c>
      <c r="C3" s="20" t="s">
        <v>200</v>
      </c>
      <c r="D3" s="20" t="s">
        <v>336</v>
      </c>
      <c r="E3" s="20" t="s">
        <v>205</v>
      </c>
      <c r="F3" s="20" t="s">
        <v>209</v>
      </c>
    </row>
    <row r="4" spans="1:6" x14ac:dyDescent="0.3">
      <c r="A4" s="20" t="s">
        <v>337</v>
      </c>
      <c r="B4" s="20" t="s">
        <v>324</v>
      </c>
      <c r="C4" s="20" t="s">
        <v>338</v>
      </c>
      <c r="D4" s="20" t="s">
        <v>339</v>
      </c>
      <c r="E4" s="20" t="s">
        <v>340</v>
      </c>
      <c r="F4" s="20" t="s">
        <v>341</v>
      </c>
    </row>
    <row r="5" spans="1:6" x14ac:dyDescent="0.3">
      <c r="A5" s="20" t="s">
        <v>342</v>
      </c>
      <c r="B5" s="20" t="s">
        <v>328</v>
      </c>
      <c r="C5" s="20" t="s">
        <v>343</v>
      </c>
      <c r="D5" s="20" t="s">
        <v>344</v>
      </c>
      <c r="E5" s="20" t="s">
        <v>345</v>
      </c>
      <c r="F5" s="20" t="s">
        <v>346</v>
      </c>
    </row>
    <row r="6" spans="1:6" x14ac:dyDescent="0.3">
      <c r="A6" s="20" t="s">
        <v>347</v>
      </c>
      <c r="B6" s="20" t="s">
        <v>348</v>
      </c>
      <c r="C6" s="20" t="s">
        <v>349</v>
      </c>
      <c r="D6" s="20" t="s">
        <v>350</v>
      </c>
      <c r="E6" s="20" t="s">
        <v>351</v>
      </c>
      <c r="F6" s="20" t="s">
        <v>234</v>
      </c>
    </row>
    <row r="7" spans="1:6" x14ac:dyDescent="0.3">
      <c r="A7" s="20" t="s">
        <v>352</v>
      </c>
      <c r="B7" s="20" t="s">
        <v>353</v>
      </c>
      <c r="C7" s="20" t="s">
        <v>354</v>
      </c>
      <c r="D7" s="20" t="s">
        <v>355</v>
      </c>
      <c r="E7" s="20" t="s">
        <v>356</v>
      </c>
      <c r="F7" s="20" t="s">
        <v>357</v>
      </c>
    </row>
    <row r="8" spans="1:6" x14ac:dyDescent="0.3">
      <c r="A8" s="20" t="s">
        <v>358</v>
      </c>
      <c r="B8" s="20" t="s">
        <v>359</v>
      </c>
      <c r="C8" s="20" t="s">
        <v>360</v>
      </c>
      <c r="D8" s="20" t="s">
        <v>361</v>
      </c>
      <c r="E8" s="20" t="s">
        <v>362</v>
      </c>
      <c r="F8" s="20" t="s">
        <v>363</v>
      </c>
    </row>
    <row r="9" spans="1:6" x14ac:dyDescent="0.3">
      <c r="A9" s="20" t="s">
        <v>364</v>
      </c>
      <c r="B9" s="20" t="s">
        <v>365</v>
      </c>
      <c r="C9" s="20" t="s">
        <v>366</v>
      </c>
      <c r="D9" s="20" t="s">
        <v>367</v>
      </c>
      <c r="E9" s="20" t="s">
        <v>368</v>
      </c>
      <c r="F9" s="20" t="s">
        <v>369</v>
      </c>
    </row>
    <row r="10" spans="1:6" x14ac:dyDescent="0.3">
      <c r="A10" s="20" t="s">
        <v>370</v>
      </c>
      <c r="B10" s="20" t="s">
        <v>371</v>
      </c>
      <c r="C10" s="20" t="s">
        <v>372</v>
      </c>
      <c r="D10" s="20" t="s">
        <v>373</v>
      </c>
      <c r="E10" s="20" t="s">
        <v>374</v>
      </c>
      <c r="F10" s="20" t="s">
        <v>375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B5CF6"/>
  </sheetPr>
  <dimension ref="A1:I17"/>
  <sheetViews>
    <sheetView showGridLines="0" zoomScaleNormal="100" workbookViewId="0">
      <pane ySplit="2" topLeftCell="A3" activePane="bottomLeft" state="frozen"/>
      <selection pane="bottomLeft" activeCell="H18" sqref="H18"/>
    </sheetView>
  </sheetViews>
  <sheetFormatPr baseColWidth="10" defaultColWidth="8.6640625" defaultRowHeight="14.4" x14ac:dyDescent="0.3"/>
  <cols>
    <col min="1" max="1" width="14" customWidth="1"/>
    <col min="2" max="2" width="16" customWidth="1"/>
    <col min="3" max="3" width="12" customWidth="1"/>
    <col min="4" max="7" width="10" customWidth="1"/>
    <col min="8" max="8" width="14" customWidth="1"/>
    <col min="9" max="9" width="50" customWidth="1"/>
  </cols>
  <sheetData>
    <row r="1" spans="1:9" ht="21.75" customHeight="1" x14ac:dyDescent="0.3">
      <c r="A1" s="3" t="s">
        <v>376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14" t="s">
        <v>210</v>
      </c>
      <c r="B2" s="14" t="s">
        <v>214</v>
      </c>
      <c r="C2" s="14" t="s">
        <v>194</v>
      </c>
      <c r="D2" s="14" t="s">
        <v>97</v>
      </c>
      <c r="E2" s="14" t="s">
        <v>157</v>
      </c>
      <c r="F2" s="14" t="s">
        <v>169</v>
      </c>
      <c r="G2" s="14" t="s">
        <v>180</v>
      </c>
      <c r="H2" s="14" t="s">
        <v>231</v>
      </c>
      <c r="I2" s="14" t="s">
        <v>235</v>
      </c>
    </row>
    <row r="3" spans="1:9" x14ac:dyDescent="0.3">
      <c r="A3" s="20" t="s">
        <v>213</v>
      </c>
      <c r="B3" s="20" t="s">
        <v>209</v>
      </c>
      <c r="C3" s="20" t="s">
        <v>197</v>
      </c>
      <c r="D3" s="20" t="s">
        <v>104</v>
      </c>
      <c r="E3" s="20" t="s">
        <v>160</v>
      </c>
      <c r="F3" s="20" t="s">
        <v>318</v>
      </c>
      <c r="G3" s="20" t="s">
        <v>183</v>
      </c>
      <c r="H3" s="20" t="s">
        <v>234</v>
      </c>
      <c r="I3" s="20" t="s">
        <v>377</v>
      </c>
    </row>
    <row r="4" spans="1:9" x14ac:dyDescent="0.3">
      <c r="A4" s="20" t="s">
        <v>378</v>
      </c>
      <c r="B4" s="20" t="s">
        <v>341</v>
      </c>
      <c r="C4" s="20" t="s">
        <v>337</v>
      </c>
      <c r="D4" s="20" t="s">
        <v>245</v>
      </c>
      <c r="E4" s="20" t="s">
        <v>292</v>
      </c>
      <c r="F4" s="20" t="s">
        <v>318</v>
      </c>
      <c r="G4" s="20" t="s">
        <v>323</v>
      </c>
      <c r="H4" s="20" t="s">
        <v>357</v>
      </c>
      <c r="I4" s="20" t="s">
        <v>379</v>
      </c>
    </row>
    <row r="5" spans="1:9" x14ac:dyDescent="0.3">
      <c r="A5" s="20" t="s">
        <v>380</v>
      </c>
      <c r="B5" s="20" t="s">
        <v>346</v>
      </c>
      <c r="C5" s="20" t="s">
        <v>342</v>
      </c>
      <c r="D5" s="20" t="s">
        <v>104</v>
      </c>
      <c r="E5" s="20" t="s">
        <v>296</v>
      </c>
      <c r="F5" s="20" t="s">
        <v>314</v>
      </c>
      <c r="G5" s="20" t="s">
        <v>183</v>
      </c>
      <c r="H5" s="20"/>
      <c r="I5" s="20" t="s">
        <v>381</v>
      </c>
    </row>
    <row r="6" spans="1:9" x14ac:dyDescent="0.3">
      <c r="A6" s="20" t="s">
        <v>382</v>
      </c>
      <c r="B6" s="20" t="s">
        <v>234</v>
      </c>
      <c r="C6" s="20" t="s">
        <v>347</v>
      </c>
      <c r="D6" s="20" t="s">
        <v>248</v>
      </c>
      <c r="E6" s="20" t="s">
        <v>304</v>
      </c>
      <c r="F6" s="20" t="s">
        <v>316</v>
      </c>
      <c r="G6" s="20" t="s">
        <v>327</v>
      </c>
      <c r="H6" s="20"/>
      <c r="I6" s="20" t="s">
        <v>383</v>
      </c>
    </row>
    <row r="7" spans="1:9" x14ac:dyDescent="0.3">
      <c r="A7" s="20" t="s">
        <v>384</v>
      </c>
      <c r="B7" s="20" t="s">
        <v>357</v>
      </c>
      <c r="C7" s="20" t="s">
        <v>352</v>
      </c>
      <c r="D7" s="20" t="s">
        <v>241</v>
      </c>
      <c r="E7" s="20" t="s">
        <v>160</v>
      </c>
      <c r="F7" s="20" t="s">
        <v>318</v>
      </c>
      <c r="G7" s="20" t="s">
        <v>323</v>
      </c>
      <c r="H7" s="20" t="s">
        <v>385</v>
      </c>
      <c r="I7" s="20" t="s">
        <v>386</v>
      </c>
    </row>
    <row r="8" spans="1:9" x14ac:dyDescent="0.3">
      <c r="A8" s="20" t="s">
        <v>387</v>
      </c>
      <c r="B8" s="20" t="s">
        <v>363</v>
      </c>
      <c r="C8" s="20" t="s">
        <v>358</v>
      </c>
      <c r="D8" s="20" t="s">
        <v>251</v>
      </c>
      <c r="E8" s="20" t="s">
        <v>307</v>
      </c>
      <c r="F8" s="20" t="s">
        <v>314</v>
      </c>
      <c r="G8" s="20" t="s">
        <v>331</v>
      </c>
      <c r="H8" s="20"/>
      <c r="I8" s="20" t="s">
        <v>388</v>
      </c>
    </row>
    <row r="9" spans="1:9" x14ac:dyDescent="0.3">
      <c r="A9" s="20" t="s">
        <v>389</v>
      </c>
      <c r="B9" s="20" t="s">
        <v>385</v>
      </c>
      <c r="C9" s="20" t="s">
        <v>197</v>
      </c>
      <c r="D9" s="20" t="s">
        <v>104</v>
      </c>
      <c r="E9" s="20" t="s">
        <v>294</v>
      </c>
      <c r="F9" s="20" t="s">
        <v>318</v>
      </c>
      <c r="G9" s="20" t="s">
        <v>183</v>
      </c>
      <c r="H9" s="20" t="s">
        <v>369</v>
      </c>
      <c r="I9" s="20" t="s">
        <v>390</v>
      </c>
    </row>
    <row r="10" spans="1:9" x14ac:dyDescent="0.3">
      <c r="A10" s="20" t="s">
        <v>391</v>
      </c>
      <c r="B10" s="20" t="s">
        <v>369</v>
      </c>
      <c r="C10" s="20" t="s">
        <v>364</v>
      </c>
      <c r="D10" s="20" t="s">
        <v>254</v>
      </c>
      <c r="E10" s="20" t="s">
        <v>309</v>
      </c>
      <c r="F10" s="20" t="s">
        <v>316</v>
      </c>
      <c r="G10" s="20" t="s">
        <v>327</v>
      </c>
      <c r="H10" s="20"/>
      <c r="I10" s="20" t="s">
        <v>392</v>
      </c>
    </row>
    <row r="11" spans="1:9" x14ac:dyDescent="0.3">
      <c r="A11" s="20" t="s">
        <v>393</v>
      </c>
      <c r="B11" s="20" t="s">
        <v>375</v>
      </c>
      <c r="C11" s="20" t="s">
        <v>370</v>
      </c>
      <c r="D11" s="20" t="s">
        <v>257</v>
      </c>
      <c r="E11" s="20" t="s">
        <v>299</v>
      </c>
      <c r="F11" s="20" t="s">
        <v>318</v>
      </c>
      <c r="G11" s="20" t="s">
        <v>323</v>
      </c>
      <c r="H11" s="20" t="s">
        <v>394</v>
      </c>
      <c r="I11" s="20" t="s">
        <v>395</v>
      </c>
    </row>
    <row r="12" spans="1:9" x14ac:dyDescent="0.3">
      <c r="A12" s="20" t="s">
        <v>396</v>
      </c>
      <c r="B12" s="20" t="s">
        <v>397</v>
      </c>
      <c r="C12" s="20" t="s">
        <v>342</v>
      </c>
      <c r="D12" s="20" t="s">
        <v>104</v>
      </c>
      <c r="E12" s="20" t="s">
        <v>160</v>
      </c>
      <c r="F12" s="20" t="s">
        <v>172</v>
      </c>
      <c r="G12" s="20" t="s">
        <v>183</v>
      </c>
      <c r="H12" s="20"/>
      <c r="I12" s="20" t="s">
        <v>398</v>
      </c>
    </row>
    <row r="13" spans="1:9" x14ac:dyDescent="0.3">
      <c r="A13" s="20" t="s">
        <v>399</v>
      </c>
      <c r="B13" s="20" t="s">
        <v>400</v>
      </c>
      <c r="C13" s="20" t="s">
        <v>337</v>
      </c>
      <c r="D13" s="20" t="s">
        <v>245</v>
      </c>
      <c r="E13" s="20" t="s">
        <v>304</v>
      </c>
      <c r="F13" s="20" t="s">
        <v>314</v>
      </c>
      <c r="G13" s="20" t="s">
        <v>323</v>
      </c>
      <c r="H13" s="20"/>
      <c r="I13" s="20" t="s">
        <v>401</v>
      </c>
    </row>
    <row r="14" spans="1:9" x14ac:dyDescent="0.3">
      <c r="A14" s="20" t="s">
        <v>402</v>
      </c>
      <c r="B14" s="20" t="s">
        <v>403</v>
      </c>
      <c r="C14" s="20" t="s">
        <v>352</v>
      </c>
      <c r="D14" s="20" t="s">
        <v>260</v>
      </c>
      <c r="E14" s="20" t="s">
        <v>296</v>
      </c>
      <c r="F14" s="20" t="s">
        <v>316</v>
      </c>
      <c r="G14" s="20" t="s">
        <v>331</v>
      </c>
      <c r="H14" s="20"/>
      <c r="I14" s="20" t="s">
        <v>404</v>
      </c>
    </row>
    <row r="15" spans="1:9" x14ac:dyDescent="0.3">
      <c r="A15" s="20" t="s">
        <v>405</v>
      </c>
      <c r="B15" s="20" t="s">
        <v>406</v>
      </c>
      <c r="C15" s="20" t="s">
        <v>197</v>
      </c>
      <c r="D15" s="20" t="s">
        <v>104</v>
      </c>
      <c r="E15" s="20" t="s">
        <v>160</v>
      </c>
      <c r="F15" s="20" t="s">
        <v>172</v>
      </c>
      <c r="G15" s="20" t="s">
        <v>183</v>
      </c>
      <c r="H15" s="20"/>
      <c r="I15" s="20" t="s">
        <v>407</v>
      </c>
    </row>
    <row r="16" spans="1:9" x14ac:dyDescent="0.3">
      <c r="A16" s="20" t="s">
        <v>408</v>
      </c>
      <c r="B16" s="20" t="s">
        <v>409</v>
      </c>
      <c r="C16" s="20" t="s">
        <v>347</v>
      </c>
      <c r="D16" s="20" t="s">
        <v>248</v>
      </c>
      <c r="E16" s="20" t="s">
        <v>302</v>
      </c>
      <c r="F16" s="20" t="s">
        <v>314</v>
      </c>
      <c r="G16" s="20" t="s">
        <v>327</v>
      </c>
      <c r="H16" s="20"/>
      <c r="I16" s="20" t="s">
        <v>410</v>
      </c>
    </row>
    <row r="17" spans="1:9" x14ac:dyDescent="0.3">
      <c r="A17" s="20" t="s">
        <v>411</v>
      </c>
      <c r="B17" s="20" t="s">
        <v>412</v>
      </c>
      <c r="C17" s="20" t="s">
        <v>358</v>
      </c>
      <c r="D17" s="20" t="s">
        <v>241</v>
      </c>
      <c r="E17" s="20" t="s">
        <v>311</v>
      </c>
      <c r="F17" s="20" t="s">
        <v>172</v>
      </c>
      <c r="G17" s="20" t="s">
        <v>183</v>
      </c>
      <c r="H17" s="20"/>
      <c r="I17" s="20" t="s">
        <v>413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Title="reclamant_id invalide" error="Choisir un id_reclamant existant." xr:uid="{00000000-0002-0000-0900-000000000000}">
          <x14:formula1>
            <xm:f>reclamants!$A$3:$A$10</xm:f>
          </x14:formula1>
          <x14:formula2>
            <xm:f>0</xm:f>
          </x14:formula2>
          <xm:sqref>C3:C37</xm:sqref>
        </x14:dataValidation>
        <x14:dataValidation type="list" xr:uid="{00000000-0002-0000-0900-000001000000}">
          <x14:formula1>
            <xm:f>ref_lignes!$A$3:$A$10</xm:f>
          </x14:formula1>
          <x14:formula2>
            <xm:f>0</xm:f>
          </x14:formula2>
          <xm:sqref>D3:D37</xm:sqref>
        </x14:dataValidation>
        <x14:dataValidation type="list" xr:uid="{00000000-0002-0000-0900-000002000000}">
          <x14:formula1>
            <xm:f>ref_motifs!$A$3:$A$12</xm:f>
          </x14:formula1>
          <x14:formula2>
            <xm:f>0</xm:f>
          </x14:formula2>
          <xm:sqref>E3:E37</xm:sqref>
        </x14:dataValidation>
        <x14:dataValidation type="list" xr:uid="{00000000-0002-0000-0900-000003000000}">
          <x14:formula1>
            <xm:f>ref_statuts!$A$3:$A$7</xm:f>
          </x14:formula1>
          <x14:formula2>
            <xm:f>0</xm:f>
          </x14:formula2>
          <xm:sqref>F3:F37</xm:sqref>
        </x14:dataValidation>
        <x14:dataValidation type="list" xr:uid="{00000000-0002-0000-0900-000004000000}">
          <x14:formula1>
            <xm:f>ref_agents!$A$3:$A$6</xm:f>
          </x14:formula1>
          <x14:formula2>
            <xm:f>0</xm:f>
          </x14:formula2>
          <xm:sqref>G3:G37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A9EED"/>
  </sheetPr>
  <dimension ref="A1:K19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14" customWidth="1"/>
    <col min="2" max="2" width="12" customWidth="1"/>
    <col min="3" max="4" width="20" customWidth="1"/>
    <col min="5" max="5" width="10" customWidth="1"/>
    <col min="6" max="6" width="30" customWidth="1"/>
    <col min="7" max="7" width="14" customWidth="1"/>
    <col min="8" max="9" width="20" customWidth="1"/>
    <col min="10" max="10" width="18" customWidth="1"/>
    <col min="11" max="11" width="40" customWidth="1"/>
  </cols>
  <sheetData>
    <row r="1" spans="1:11" ht="16.8" x14ac:dyDescent="0.3">
      <c r="A1" s="2" t="s">
        <v>414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31.5" customHeight="1" x14ac:dyDescent="0.3">
      <c r="A2" s="1" t="s">
        <v>415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x14ac:dyDescent="0.3">
      <c r="A4" s="14" t="s">
        <v>210</v>
      </c>
      <c r="B4" s="14" t="s">
        <v>416</v>
      </c>
      <c r="C4" s="14" t="s">
        <v>417</v>
      </c>
      <c r="D4" s="14" t="s">
        <v>190</v>
      </c>
      <c r="E4" s="14" t="s">
        <v>418</v>
      </c>
      <c r="F4" s="14" t="s">
        <v>419</v>
      </c>
      <c r="G4" s="14" t="s">
        <v>420</v>
      </c>
      <c r="H4" s="14" t="s">
        <v>421</v>
      </c>
      <c r="I4" s="14" t="s">
        <v>422</v>
      </c>
      <c r="J4" s="14" t="s">
        <v>423</v>
      </c>
      <c r="K4" s="14" t="s">
        <v>235</v>
      </c>
    </row>
    <row r="5" spans="1:11" x14ac:dyDescent="0.3">
      <c r="A5" s="21" t="str">
        <f>reclamations!A3</f>
        <v>R001</v>
      </c>
      <c r="B5" s="21" t="str">
        <f>reclamations!B3</f>
        <v>05/03/2026</v>
      </c>
      <c r="C5" s="21" t="str">
        <f>IFERROR(VLOOKUP(reclamations!C3,reclamants!$A$3:$F$50,2,FALSE())&amp;" "&amp;VLOOKUP(reclamations!C3,reclamants!$A$3:$F$50,3,FALSE()),"?")</f>
        <v>Martin Jean</v>
      </c>
      <c r="D5" s="21" t="str">
        <f>IFERROR(VLOOKUP(reclamations!C3,reclamants!$A$3:$F$50,4,FALSE()),"")</f>
        <v>j.martin@mail.fr</v>
      </c>
      <c r="E5" s="21" t="str">
        <f>IFERROR(VLOOKUP(reclamations!D3,ref_lignes!$A$3:$E$50,2,FALSE()),"?")</f>
        <v>389</v>
      </c>
      <c r="F5" s="21" t="str">
        <f>IFERROR(VLOOKUP(reclamations!D3,ref_lignes!$A$3:$E$50,3,FALSE()),"?")</f>
        <v>Clamart - Issy</v>
      </c>
      <c r="G5" s="21" t="str">
        <f>IFERROR(VLOOKUP(VLOOKUP(reclamations!D3,ref_lignes!$A$3:$E$50,4,FALSE()),ref_prestataires!$A$3:$E$50,2,FALSE()),"?")</f>
        <v>Keolis</v>
      </c>
      <c r="H5" s="21" t="str">
        <f>IFERROR(VLOOKUP(reclamations!E3,ref_motifs!$A$3:$C$50,2,FALSE()),"?")</f>
        <v>Retard</v>
      </c>
      <c r="I5" s="21" t="str">
        <f>IFERROR(VLOOKUP(reclamations!F3,ref_statuts!$A$3:$C$50,2,FALSE()),"?")</f>
        <v>Close</v>
      </c>
      <c r="J5" s="21" t="str">
        <f>IFERROR(VLOOKUP(reclamations!G3,ref_agents!$A$3:$D$50,3,FALSE())&amp;" "&amp;VLOOKUP(reclamations!G3,ref_agents!$A$3:$D$50,2,FALSE()),"?")</f>
        <v>Sophie Martin</v>
      </c>
      <c r="K5" s="21" t="str">
        <f>reclamations!I3</f>
        <v>Bus de 8h12 passé 10 min en retard, usagère a raté son train.</v>
      </c>
    </row>
    <row r="6" spans="1:11" x14ac:dyDescent="0.3">
      <c r="A6" s="20" t="str">
        <f>reclamations!A4</f>
        <v>R002</v>
      </c>
      <c r="B6" s="20" t="str">
        <f>reclamations!B4</f>
        <v>07/03/2026</v>
      </c>
      <c r="C6" s="20" t="str">
        <f>IFERROR(VLOOKUP(reclamations!C4,reclamants!$A$3:$F$50,2,FALSE())&amp;" "&amp;VLOOKUP(reclamations!C4,reclamants!$A$3:$F$50,3,FALSE()),"?")</f>
        <v>Dupont Anne</v>
      </c>
      <c r="D6" s="20" t="str">
        <f>IFERROR(VLOOKUP(reclamations!C4,reclamants!$A$3:$F$50,4,FALSE()),"")</f>
        <v>a.dupont@mail.fr</v>
      </c>
      <c r="E6" s="20" t="str">
        <f>IFERROR(VLOOKUP(reclamations!D4,ref_lignes!$A$3:$E$50,2,FALSE()),"?")</f>
        <v>160</v>
      </c>
      <c r="F6" s="20" t="str">
        <f>IFERROR(VLOOKUP(reclamations!D4,ref_lignes!$A$3:$E$50,3,FALSE()),"?")</f>
        <v>Boulogne - Versailles</v>
      </c>
      <c r="G6" s="20" t="str">
        <f>IFERROR(VLOOKUP(VLOOKUP(reclamations!D4,ref_lignes!$A$3:$E$50,4,FALSE()),ref_prestataires!$A$3:$E$50,2,FALSE()),"?")</f>
        <v>Keolis</v>
      </c>
      <c r="H6" s="20" t="str">
        <f>IFERROR(VLOOKUP(reclamations!E4,ref_motifs!$A$3:$C$50,2,FALSE()),"?")</f>
        <v>Avance</v>
      </c>
      <c r="I6" s="20" t="str">
        <f>IFERROR(VLOOKUP(reclamations!F4,ref_statuts!$A$3:$C$50,2,FALSE()),"?")</f>
        <v>Close</v>
      </c>
      <c r="J6" s="20" t="str">
        <f>IFERROR(VLOOKUP(reclamations!G4,ref_agents!$A$3:$D$50,3,FALSE())&amp;" "&amp;VLOOKUP(reclamations!G4,ref_agents!$A$3:$D$50,2,FALSE()),"?")</f>
        <v>Paul Dupont</v>
      </c>
      <c r="K6" s="20" t="str">
        <f>reclamations!I4</f>
        <v>Bus passé 8 min en avance à l'arrêt Pasteur.</v>
      </c>
    </row>
    <row r="7" spans="1:11" x14ac:dyDescent="0.3">
      <c r="A7" s="21" t="str">
        <f>reclamations!A5</f>
        <v>R003</v>
      </c>
      <c r="B7" s="21" t="str">
        <f>reclamations!B5</f>
        <v>10/03/2026</v>
      </c>
      <c r="C7" s="21" t="str">
        <f>IFERROR(VLOOKUP(reclamations!C5,reclamants!$A$3:$F$50,2,FALSE())&amp;" "&amp;VLOOKUP(reclamations!C5,reclamants!$A$3:$F$50,3,FALSE()),"?")</f>
        <v>Nguyen Tran</v>
      </c>
      <c r="D7" s="21" t="str">
        <f>IFERROR(VLOOKUP(reclamations!C5,reclamants!$A$3:$F$50,4,FALSE()),"")</f>
        <v>t.nguyen@mail.fr</v>
      </c>
      <c r="E7" s="21" t="str">
        <f>IFERROR(VLOOKUP(reclamations!D5,ref_lignes!$A$3:$E$50,2,FALSE()),"?")</f>
        <v>389</v>
      </c>
      <c r="F7" s="21" t="str">
        <f>IFERROR(VLOOKUP(reclamations!D5,ref_lignes!$A$3:$E$50,3,FALSE()),"?")</f>
        <v>Clamart - Issy</v>
      </c>
      <c r="G7" s="21" t="str">
        <f>IFERROR(VLOOKUP(VLOOKUP(reclamations!D5,ref_lignes!$A$3:$E$50,4,FALSE()),ref_prestataires!$A$3:$E$50,2,FALSE()),"?")</f>
        <v>Keolis</v>
      </c>
      <c r="H7" s="21" t="str">
        <f>IFERROR(VLOOKUP(reclamations!E5,ref_motifs!$A$3:$C$50,2,FALSE()),"?")</f>
        <v>Panne matériel</v>
      </c>
      <c r="I7" s="21" t="str">
        <f>IFERROR(VLOOKUP(reclamations!F5,ref_statuts!$A$3:$C$50,2,FALSE()),"?")</f>
        <v>En cours</v>
      </c>
      <c r="J7" s="21" t="str">
        <f>IFERROR(VLOOKUP(reclamations!G5,ref_agents!$A$3:$D$50,3,FALSE())&amp;" "&amp;VLOOKUP(reclamations!G5,ref_agents!$A$3:$D$50,2,FALSE()),"?")</f>
        <v>Sophie Martin</v>
      </c>
      <c r="K7" s="21" t="str">
        <f>reclamations!I5</f>
        <v>Panne de climatisation signalée deux jours de suite.</v>
      </c>
    </row>
    <row r="8" spans="1:11" x14ac:dyDescent="0.3">
      <c r="A8" s="20" t="str">
        <f>reclamations!A6</f>
        <v>R004</v>
      </c>
      <c r="B8" s="20" t="str">
        <f>reclamations!B6</f>
        <v>12/03/2026</v>
      </c>
      <c r="C8" s="20" t="str">
        <f>IFERROR(VLOOKUP(reclamations!C6,reclamants!$A$3:$F$50,2,FALSE())&amp;" "&amp;VLOOKUP(reclamations!C6,reclamants!$A$3:$F$50,3,FALSE()),"?")</f>
        <v>Garcia Maria</v>
      </c>
      <c r="D8" s="20" t="str">
        <f>IFERROR(VLOOKUP(reclamations!C6,reclamants!$A$3:$F$50,4,FALSE()),"")</f>
        <v>m.garcia@mail.fr</v>
      </c>
      <c r="E8" s="20" t="str">
        <f>IFERROR(VLOOKUP(reclamations!D6,ref_lignes!$A$3:$E$50,2,FALSE()),"?")</f>
        <v>467</v>
      </c>
      <c r="F8" s="20" t="str">
        <f>IFERROR(VLOOKUP(reclamations!D6,ref_lignes!$A$3:$E$50,3,FALSE()),"?")</f>
        <v>Meudon - Sèvres</v>
      </c>
      <c r="G8" s="20" t="str">
        <f>IFERROR(VLOOKUP(VLOOKUP(reclamations!D6,ref_lignes!$A$3:$E$50,4,FALSE()),ref_prestataires!$A$3:$E$50,2,FALSE()),"?")</f>
        <v>Keolis</v>
      </c>
      <c r="H8" s="20" t="str">
        <f>IFERROR(VLOOKUP(reclamations!E6,ref_motifs!$A$3:$C$50,2,FALSE()),"?")</f>
        <v>Comportement conducteur</v>
      </c>
      <c r="I8" s="20" t="str">
        <f>IFERROR(VLOOKUP(reclamations!F6,ref_statuts!$A$3:$C$50,2,FALSE()),"?")</f>
        <v>En attente prestataire</v>
      </c>
      <c r="J8" s="20" t="str">
        <f>IFERROR(VLOOKUP(reclamations!G6,ref_agents!$A$3:$D$50,3,FALSE())&amp;" "&amp;VLOOKUP(reclamations!G6,ref_agents!$A$3:$D$50,2,FALSE()),"?")</f>
        <v>Thi Nguyen</v>
      </c>
      <c r="K8" s="20" t="str">
        <f>reclamations!I6</f>
        <v>Conducteur peu courtois lors d'une demande d'info.</v>
      </c>
    </row>
    <row r="9" spans="1:11" x14ac:dyDescent="0.3">
      <c r="A9" s="21" t="str">
        <f>reclamations!A7</f>
        <v>R005</v>
      </c>
      <c r="B9" s="21" t="str">
        <f>reclamations!B7</f>
        <v>15/03/2026</v>
      </c>
      <c r="C9" s="21" t="str">
        <f>IFERROR(VLOOKUP(reclamations!C7,reclamants!$A$3:$F$50,2,FALSE())&amp;" "&amp;VLOOKUP(reclamations!C7,reclamants!$A$3:$F$50,3,FALSE()),"?")</f>
        <v>Leroy Philippe</v>
      </c>
      <c r="D9" s="21" t="str">
        <f>IFERROR(VLOOKUP(reclamations!C7,reclamants!$A$3:$F$50,4,FALSE()),"")</f>
        <v>p.leroy@mail.fr</v>
      </c>
      <c r="E9" s="21" t="str">
        <f>IFERROR(VLOOKUP(reclamations!D7,ref_lignes!$A$3:$E$50,2,FALSE()),"?")</f>
        <v>169</v>
      </c>
      <c r="F9" s="21" t="str">
        <f>IFERROR(VLOOKUP(reclamations!D7,ref_lignes!$A$3:$E$50,3,FALSE()),"?")</f>
        <v>Pont de Sèvres - Place Balard</v>
      </c>
      <c r="G9" s="21" t="str">
        <f>IFERROR(VLOOKUP(VLOOKUP(reclamations!D7,ref_lignes!$A$3:$E$50,4,FALSE()),ref_prestataires!$A$3:$E$50,2,FALSE()),"?")</f>
        <v>RATP</v>
      </c>
      <c r="H9" s="21" t="str">
        <f>IFERROR(VLOOKUP(reclamations!E7,ref_motifs!$A$3:$C$50,2,FALSE()),"?")</f>
        <v>Retard</v>
      </c>
      <c r="I9" s="21" t="str">
        <f>IFERROR(VLOOKUP(reclamations!F7,ref_statuts!$A$3:$C$50,2,FALSE()),"?")</f>
        <v>Close</v>
      </c>
      <c r="J9" s="21" t="str">
        <f>IFERROR(VLOOKUP(reclamations!G7,ref_agents!$A$3:$D$50,3,FALSE())&amp;" "&amp;VLOOKUP(reclamations!G7,ref_agents!$A$3:$D$50,2,FALSE()),"?")</f>
        <v>Paul Dupont</v>
      </c>
      <c r="K9" s="21" t="str">
        <f>reclamations!I7</f>
        <v>Retard récurrent sur la ligne 169 le matin.</v>
      </c>
    </row>
    <row r="10" spans="1:11" x14ac:dyDescent="0.3">
      <c r="A10" s="20" t="str">
        <f>reclamations!A8</f>
        <v>R006</v>
      </c>
      <c r="B10" s="20" t="str">
        <f>reclamations!B8</f>
        <v>18/03/2026</v>
      </c>
      <c r="C10" s="20" t="str">
        <f>IFERROR(VLOOKUP(reclamations!C8,reclamants!$A$3:$F$50,2,FALSE())&amp;" "&amp;VLOOKUP(reclamations!C8,reclamants!$A$3:$F$50,3,FALSE()),"?")</f>
        <v>Ben Salem Karim</v>
      </c>
      <c r="D10" s="20" t="str">
        <f>IFERROR(VLOOKUP(reclamations!C8,reclamants!$A$3:$F$50,4,FALSE()),"")</f>
        <v>k.bensalem@mail.fr</v>
      </c>
      <c r="E10" s="20" t="str">
        <f>IFERROR(VLOOKUP(reclamations!D8,ref_lignes!$A$3:$E$50,2,FALSE()),"?")</f>
        <v>179</v>
      </c>
      <c r="F10" s="20" t="str">
        <f>IFERROR(VLOOKUP(reclamations!D8,ref_lignes!$A$3:$E$50,3,FALSE()),"?")</f>
        <v>Pont de Sèvres - Meudon</v>
      </c>
      <c r="G10" s="20" t="str">
        <f>IFERROR(VLOOKUP(VLOOKUP(reclamations!D8,ref_lignes!$A$3:$E$50,4,FALSE()),ref_prestataires!$A$3:$E$50,2,FALSE()),"?")</f>
        <v>RATP</v>
      </c>
      <c r="H10" s="20" t="str">
        <f>IFERROR(VLOOKUP(reclamations!E8,ref_motifs!$A$3:$C$50,2,FALSE()),"?")</f>
        <v>Information voyageurs</v>
      </c>
      <c r="I10" s="20" t="str">
        <f>IFERROR(VLOOKUP(reclamations!F8,ref_statuts!$A$3:$C$50,2,FALSE()),"?")</f>
        <v>En cours</v>
      </c>
      <c r="J10" s="20" t="str">
        <f>IFERROR(VLOOKUP(reclamations!G8,ref_agents!$A$3:$D$50,3,FALSE())&amp;" "&amp;VLOOKUP(reclamations!G8,ref_agents!$A$3:$D$50,2,FALSE()),"?")</f>
        <v>Cristina Roca</v>
      </c>
      <c r="K10" s="20" t="str">
        <f>reclamations!I8</f>
        <v>Affichage voyageur défaillant à l'arrêt Meudon Val Fleury.</v>
      </c>
    </row>
    <row r="11" spans="1:11" x14ac:dyDescent="0.3">
      <c r="A11" s="21" t="str">
        <f>reclamations!A9</f>
        <v>R007</v>
      </c>
      <c r="B11" s="21" t="str">
        <f>reclamations!B9</f>
        <v>20/03/2026</v>
      </c>
      <c r="C11" s="21" t="str">
        <f>IFERROR(VLOOKUP(reclamations!C9,reclamants!$A$3:$F$50,2,FALSE())&amp;" "&amp;VLOOKUP(reclamations!C9,reclamants!$A$3:$F$50,3,FALSE()),"?")</f>
        <v>Martin Jean</v>
      </c>
      <c r="D11" s="21" t="str">
        <f>IFERROR(VLOOKUP(reclamations!C9,reclamants!$A$3:$F$50,4,FALSE()),"")</f>
        <v>j.martin@mail.fr</v>
      </c>
      <c r="E11" s="21" t="str">
        <f>IFERROR(VLOOKUP(reclamations!D9,ref_lignes!$A$3:$E$50,2,FALSE()),"?")</f>
        <v>389</v>
      </c>
      <c r="F11" s="21" t="str">
        <f>IFERROR(VLOOKUP(reclamations!D9,ref_lignes!$A$3:$E$50,3,FALSE()),"?")</f>
        <v>Clamart - Issy</v>
      </c>
      <c r="G11" s="21" t="str">
        <f>IFERROR(VLOOKUP(VLOOKUP(reclamations!D9,ref_lignes!$A$3:$E$50,4,FALSE()),ref_prestataires!$A$3:$E$50,2,FALSE()),"?")</f>
        <v>Keolis</v>
      </c>
      <c r="H11" s="21" t="str">
        <f>IFERROR(VLOOKUP(reclamations!E9,ref_motifs!$A$3:$C$50,2,FALSE()),"?")</f>
        <v>Bus non passé</v>
      </c>
      <c r="I11" s="21" t="str">
        <f>IFERROR(VLOOKUP(reclamations!F9,ref_statuts!$A$3:$C$50,2,FALSE()),"?")</f>
        <v>Close</v>
      </c>
      <c r="J11" s="21" t="str">
        <f>IFERROR(VLOOKUP(reclamations!G9,ref_agents!$A$3:$D$50,3,FALSE())&amp;" "&amp;VLOOKUP(reclamations!G9,ref_agents!$A$3:$D$50,2,FALSE()),"?")</f>
        <v>Sophie Martin</v>
      </c>
      <c r="K11" s="21" t="str">
        <f>reclamations!I9</f>
        <v>Bus de 17h45 non passé. Déjà signalé la semaine dernière.</v>
      </c>
    </row>
    <row r="12" spans="1:11" x14ac:dyDescent="0.3">
      <c r="A12" s="20" t="str">
        <f>reclamations!A10</f>
        <v>R008</v>
      </c>
      <c r="B12" s="20" t="str">
        <f>reclamations!B10</f>
        <v>22/03/2026</v>
      </c>
      <c r="C12" s="20" t="str">
        <f>IFERROR(VLOOKUP(reclamations!C10,reclamants!$A$3:$F$50,2,FALSE())&amp;" "&amp;VLOOKUP(reclamations!C10,reclamants!$A$3:$F$50,3,FALSE()),"?")</f>
        <v>Moreau Isabelle</v>
      </c>
      <c r="D12" s="20" t="str">
        <f>IFERROR(VLOOKUP(reclamations!C10,reclamants!$A$3:$F$50,4,FALSE()),"")</f>
        <v>i.moreau@mail.fr</v>
      </c>
      <c r="E12" s="20" t="str">
        <f>IFERROR(VLOOKUP(reclamations!D10,ref_lignes!$A$3:$E$50,2,FALSE()),"?")</f>
        <v>291</v>
      </c>
      <c r="F12" s="20" t="str">
        <f>IFERROR(VLOOKUP(reclamations!D10,ref_lignes!$A$3:$E$50,3,FALSE()),"?")</f>
        <v>Issy RER - Vanves</v>
      </c>
      <c r="G12" s="20" t="str">
        <f>IFERROR(VLOOKUP(VLOOKUP(reclamations!D10,ref_lignes!$A$3:$E$50,4,FALSE()),ref_prestataires!$A$3:$E$50,2,FALSE()),"?")</f>
        <v>Keolis</v>
      </c>
      <c r="H12" s="20" t="str">
        <f>IFERROR(VLOOKUP(reclamations!E10,ref_motifs!$A$3:$C$50,2,FALSE()),"?")</f>
        <v>Accessibilité PMR</v>
      </c>
      <c r="I12" s="20" t="str">
        <f>IFERROR(VLOOKUP(reclamations!F10,ref_statuts!$A$3:$C$50,2,FALSE()),"?")</f>
        <v>En attente prestataire</v>
      </c>
      <c r="J12" s="20" t="str">
        <f>IFERROR(VLOOKUP(reclamations!G10,ref_agents!$A$3:$D$50,3,FALSE())&amp;" "&amp;VLOOKUP(reclamations!G10,ref_agents!$A$3:$D$50,2,FALSE()),"?")</f>
        <v>Thi Nguyen</v>
      </c>
      <c r="K12" s="20" t="str">
        <f>reclamations!I10</f>
        <v>Rampe PMR en panne sur la ligne 291.</v>
      </c>
    </row>
    <row r="13" spans="1:11" x14ac:dyDescent="0.3">
      <c r="A13" s="21" t="str">
        <f>reclamations!A11</f>
        <v>R009</v>
      </c>
      <c r="B13" s="21" t="str">
        <f>reclamations!B11</f>
        <v>25/03/2026</v>
      </c>
      <c r="C13" s="21" t="str">
        <f>IFERROR(VLOOKUP(reclamations!C11,reclamants!$A$3:$F$50,2,FALSE())&amp;" "&amp;VLOOKUP(reclamations!C11,reclamants!$A$3:$F$50,3,FALSE()),"?")</f>
        <v>Petit Antoine</v>
      </c>
      <c r="D13" s="21" t="str">
        <f>IFERROR(VLOOKUP(reclamations!C11,reclamants!$A$3:$F$50,4,FALSE()),"")</f>
        <v>a.petit@mail.fr</v>
      </c>
      <c r="E13" s="21" t="str">
        <f>IFERROR(VLOOKUP(reclamations!D11,ref_lignes!$A$3:$E$50,2,FALSE()),"?")</f>
        <v>189</v>
      </c>
      <c r="F13" s="21" t="str">
        <f>IFERROR(VLOOKUP(reclamations!D11,ref_lignes!$A$3:$E$50,3,FALSE()),"?")</f>
        <v>Boulogne Pont de St Cloud - Porte de St Cloud</v>
      </c>
      <c r="G13" s="21" t="str">
        <f>IFERROR(VLOOKUP(VLOOKUP(reclamations!D11,ref_lignes!$A$3:$E$50,4,FALSE()),ref_prestataires!$A$3:$E$50,2,FALSE()),"?")</f>
        <v>RATP</v>
      </c>
      <c r="H13" s="21" t="str">
        <f>IFERROR(VLOOKUP(reclamations!E11,ref_motifs!$A$3:$C$50,2,FALSE()),"?")</f>
        <v>Véhicule sale</v>
      </c>
      <c r="I13" s="21" t="str">
        <f>IFERROR(VLOOKUP(reclamations!F11,ref_statuts!$A$3:$C$50,2,FALSE()),"?")</f>
        <v>Close</v>
      </c>
      <c r="J13" s="21" t="str">
        <f>IFERROR(VLOOKUP(reclamations!G11,ref_agents!$A$3:$D$50,3,FALSE())&amp;" "&amp;VLOOKUP(reclamations!G11,ref_agents!$A$3:$D$50,2,FALSE()),"?")</f>
        <v>Paul Dupont</v>
      </c>
      <c r="K13" s="21" t="str">
        <f>reclamations!I11</f>
        <v>Bus très sale, intérieur non nettoyé.</v>
      </c>
    </row>
    <row r="14" spans="1:11" x14ac:dyDescent="0.3">
      <c r="A14" s="20" t="str">
        <f>reclamations!A12</f>
        <v>R010</v>
      </c>
      <c r="B14" s="20" t="str">
        <f>reclamations!B12</f>
        <v>27/03/2026</v>
      </c>
      <c r="C14" s="20" t="str">
        <f>IFERROR(VLOOKUP(reclamations!C12,reclamants!$A$3:$F$50,2,FALSE())&amp;" "&amp;VLOOKUP(reclamations!C12,reclamants!$A$3:$F$50,3,FALSE()),"?")</f>
        <v>Nguyen Tran</v>
      </c>
      <c r="D14" s="20" t="str">
        <f>IFERROR(VLOOKUP(reclamations!C12,reclamants!$A$3:$F$50,4,FALSE()),"")</f>
        <v>t.nguyen@mail.fr</v>
      </c>
      <c r="E14" s="20" t="str">
        <f>IFERROR(VLOOKUP(reclamations!D12,ref_lignes!$A$3:$E$50,2,FALSE()),"?")</f>
        <v>389</v>
      </c>
      <c r="F14" s="20" t="str">
        <f>IFERROR(VLOOKUP(reclamations!D12,ref_lignes!$A$3:$E$50,3,FALSE()),"?")</f>
        <v>Clamart - Issy</v>
      </c>
      <c r="G14" s="20" t="str">
        <f>IFERROR(VLOOKUP(VLOOKUP(reclamations!D12,ref_lignes!$A$3:$E$50,4,FALSE()),ref_prestataires!$A$3:$E$50,2,FALSE()),"?")</f>
        <v>Keolis</v>
      </c>
      <c r="H14" s="20" t="str">
        <f>IFERROR(VLOOKUP(reclamations!E12,ref_motifs!$A$3:$C$50,2,FALSE()),"?")</f>
        <v>Retard</v>
      </c>
      <c r="I14" s="20" t="str">
        <f>IFERROR(VLOOKUP(reclamations!F12,ref_statuts!$A$3:$C$50,2,FALSE()),"?")</f>
        <v>Ouverte</v>
      </c>
      <c r="J14" s="20" t="str">
        <f>IFERROR(VLOOKUP(reclamations!G12,ref_agents!$A$3:$D$50,3,FALSE())&amp;" "&amp;VLOOKUP(reclamations!G12,ref_agents!$A$3:$D$50,2,FALSE()),"?")</f>
        <v>Sophie Martin</v>
      </c>
      <c r="K14" s="20" t="str">
        <f>reclamations!I12</f>
        <v>Retard récurrent matin.</v>
      </c>
    </row>
    <row r="15" spans="1:11" x14ac:dyDescent="0.3">
      <c r="A15" s="21" t="str">
        <f>reclamations!A13</f>
        <v>R011</v>
      </c>
      <c r="B15" s="21" t="str">
        <f>reclamations!B13</f>
        <v>29/03/2026</v>
      </c>
      <c r="C15" s="21" t="str">
        <f>IFERROR(VLOOKUP(reclamations!C13,reclamants!$A$3:$F$50,2,FALSE())&amp;" "&amp;VLOOKUP(reclamations!C13,reclamants!$A$3:$F$50,3,FALSE()),"?")</f>
        <v>Dupont Anne</v>
      </c>
      <c r="D15" s="21" t="str">
        <f>IFERROR(VLOOKUP(reclamations!C13,reclamants!$A$3:$F$50,4,FALSE()),"")</f>
        <v>a.dupont@mail.fr</v>
      </c>
      <c r="E15" s="21" t="str">
        <f>IFERROR(VLOOKUP(reclamations!D13,ref_lignes!$A$3:$E$50,2,FALSE()),"?")</f>
        <v>160</v>
      </c>
      <c r="F15" s="21" t="str">
        <f>IFERROR(VLOOKUP(reclamations!D13,ref_lignes!$A$3:$E$50,3,FALSE()),"?")</f>
        <v>Boulogne - Versailles</v>
      </c>
      <c r="G15" s="21" t="str">
        <f>IFERROR(VLOOKUP(VLOOKUP(reclamations!D13,ref_lignes!$A$3:$E$50,4,FALSE()),ref_prestataires!$A$3:$E$50,2,FALSE()),"?")</f>
        <v>Keolis</v>
      </c>
      <c r="H15" s="21" t="str">
        <f>IFERROR(VLOOKUP(reclamations!E13,ref_motifs!$A$3:$C$50,2,FALSE()),"?")</f>
        <v>Comportement conducteur</v>
      </c>
      <c r="I15" s="21" t="str">
        <f>IFERROR(VLOOKUP(reclamations!F13,ref_statuts!$A$3:$C$50,2,FALSE()),"?")</f>
        <v>En cours</v>
      </c>
      <c r="J15" s="21" t="str">
        <f>IFERROR(VLOOKUP(reclamations!G13,ref_agents!$A$3:$D$50,3,FALSE())&amp;" "&amp;VLOOKUP(reclamations!G13,ref_agents!$A$3:$D$50,2,FALSE()),"?")</f>
        <v>Paul Dupont</v>
      </c>
      <c r="K15" s="21" t="str">
        <f>reclamations!I13</f>
        <v>Problème de comportement signalé de nouveau.</v>
      </c>
    </row>
    <row r="16" spans="1:11" x14ac:dyDescent="0.3">
      <c r="A16" s="20" t="str">
        <f>reclamations!A14</f>
        <v>R012</v>
      </c>
      <c r="B16" s="20" t="str">
        <f>reclamations!B14</f>
        <v>31/03/2026</v>
      </c>
      <c r="C16" s="20" t="str">
        <f>IFERROR(VLOOKUP(reclamations!C14,reclamants!$A$3:$F$50,2,FALSE())&amp;" "&amp;VLOOKUP(reclamations!C14,reclamants!$A$3:$F$50,3,FALSE()),"?")</f>
        <v>Leroy Philippe</v>
      </c>
      <c r="D16" s="20" t="str">
        <f>IFERROR(VLOOKUP(reclamations!C14,reclamants!$A$3:$F$50,4,FALSE()),"")</f>
        <v>p.leroy@mail.fr</v>
      </c>
      <c r="E16" s="20" t="str">
        <f>IFERROR(VLOOKUP(reclamations!D14,ref_lignes!$A$3:$E$50,2,FALSE()),"?")</f>
        <v>126</v>
      </c>
      <c r="F16" s="20" t="str">
        <f>IFERROR(VLOOKUP(reclamations!D14,ref_lignes!$A$3:$E$50,3,FALSE()),"?")</f>
        <v>Porte d'Orléans - Chaville Vélizy</v>
      </c>
      <c r="G16" s="20" t="str">
        <f>IFERROR(VLOOKUP(VLOOKUP(reclamations!D14,ref_lignes!$A$3:$E$50,4,FALSE()),ref_prestataires!$A$3:$E$50,2,FALSE()),"?")</f>
        <v>RATP</v>
      </c>
      <c r="H16" s="20" t="str">
        <f>IFERROR(VLOOKUP(reclamations!E14,ref_motifs!$A$3:$C$50,2,FALSE()),"?")</f>
        <v>Panne matériel</v>
      </c>
      <c r="I16" s="20" t="str">
        <f>IFERROR(VLOOKUP(reclamations!F14,ref_statuts!$A$3:$C$50,2,FALSE()),"?")</f>
        <v>En attente prestataire</v>
      </c>
      <c r="J16" s="20" t="str">
        <f>IFERROR(VLOOKUP(reclamations!G14,ref_agents!$A$3:$D$50,3,FALSE())&amp;" "&amp;VLOOKUP(reclamations!G14,ref_agents!$A$3:$D$50,2,FALSE()),"?")</f>
        <v>Cristina Roca</v>
      </c>
      <c r="K16" s="20" t="str">
        <f>reclamations!I14</f>
        <v>Panne mécanique en ligne.</v>
      </c>
    </row>
    <row r="17" spans="1:11" x14ac:dyDescent="0.3">
      <c r="A17" s="21" t="str">
        <f>reclamations!A15</f>
        <v>R013</v>
      </c>
      <c r="B17" s="21" t="str">
        <f>reclamations!B15</f>
        <v>02/04/2026</v>
      </c>
      <c r="C17" s="21" t="str">
        <f>IFERROR(VLOOKUP(reclamations!C15,reclamants!$A$3:$F$50,2,FALSE())&amp;" "&amp;VLOOKUP(reclamations!C15,reclamants!$A$3:$F$50,3,FALSE()),"?")</f>
        <v>Martin Jean</v>
      </c>
      <c r="D17" s="21" t="str">
        <f>IFERROR(VLOOKUP(reclamations!C15,reclamants!$A$3:$F$50,4,FALSE()),"")</f>
        <v>j.martin@mail.fr</v>
      </c>
      <c r="E17" s="21" t="str">
        <f>IFERROR(VLOOKUP(reclamations!D15,ref_lignes!$A$3:$E$50,2,FALSE()),"?")</f>
        <v>389</v>
      </c>
      <c r="F17" s="21" t="str">
        <f>IFERROR(VLOOKUP(reclamations!D15,ref_lignes!$A$3:$E$50,3,FALSE()),"?")</f>
        <v>Clamart - Issy</v>
      </c>
      <c r="G17" s="21" t="str">
        <f>IFERROR(VLOOKUP(VLOOKUP(reclamations!D15,ref_lignes!$A$3:$E$50,4,FALSE()),ref_prestataires!$A$3:$E$50,2,FALSE()),"?")</f>
        <v>Keolis</v>
      </c>
      <c r="H17" s="21" t="str">
        <f>IFERROR(VLOOKUP(reclamations!E15,ref_motifs!$A$3:$C$50,2,FALSE()),"?")</f>
        <v>Retard</v>
      </c>
      <c r="I17" s="21" t="str">
        <f>IFERROR(VLOOKUP(reclamations!F15,ref_statuts!$A$3:$C$50,2,FALSE()),"?")</f>
        <v>Ouverte</v>
      </c>
      <c r="J17" s="21" t="str">
        <f>IFERROR(VLOOKUP(reclamations!G15,ref_agents!$A$3:$D$50,3,FALSE())&amp;" "&amp;VLOOKUP(reclamations!G15,ref_agents!$A$3:$D$50,2,FALSE()),"?")</f>
        <v>Sophie Martin</v>
      </c>
      <c r="K17" s="21" t="str">
        <f>reclamations!I15</f>
        <v>Retard à l'arrêt Porte d'Issy.</v>
      </c>
    </row>
    <row r="18" spans="1:11" x14ac:dyDescent="0.3">
      <c r="A18" s="20" t="str">
        <f>reclamations!A16</f>
        <v>R014</v>
      </c>
      <c r="B18" s="20" t="str">
        <f>reclamations!B16</f>
        <v>05/04/2026</v>
      </c>
      <c r="C18" s="20" t="str">
        <f>IFERROR(VLOOKUP(reclamations!C16,reclamants!$A$3:$F$50,2,FALSE())&amp;" "&amp;VLOOKUP(reclamations!C16,reclamants!$A$3:$F$50,3,FALSE()),"?")</f>
        <v>Garcia Maria</v>
      </c>
      <c r="D18" s="20" t="str">
        <f>IFERROR(VLOOKUP(reclamations!C16,reclamants!$A$3:$F$50,4,FALSE()),"")</f>
        <v>m.garcia@mail.fr</v>
      </c>
      <c r="E18" s="20" t="str">
        <f>IFERROR(VLOOKUP(reclamations!D16,ref_lignes!$A$3:$E$50,2,FALSE()),"?")</f>
        <v>467</v>
      </c>
      <c r="F18" s="20" t="str">
        <f>IFERROR(VLOOKUP(reclamations!D16,ref_lignes!$A$3:$E$50,3,FALSE()),"?")</f>
        <v>Meudon - Sèvres</v>
      </c>
      <c r="G18" s="20" t="str">
        <f>IFERROR(VLOOKUP(VLOOKUP(reclamations!D16,ref_lignes!$A$3:$E$50,4,FALSE()),ref_prestataires!$A$3:$E$50,2,FALSE()),"?")</f>
        <v>Keolis</v>
      </c>
      <c r="H18" s="20" t="str">
        <f>IFERROR(VLOOKUP(reclamations!E16,ref_motifs!$A$3:$C$50,2,FALSE()),"?")</f>
        <v>Climatisation défaillante</v>
      </c>
      <c r="I18" s="20" t="str">
        <f>IFERROR(VLOOKUP(reclamations!F16,ref_statuts!$A$3:$C$50,2,FALSE()),"?")</f>
        <v>En cours</v>
      </c>
      <c r="J18" s="20" t="str">
        <f>IFERROR(VLOOKUP(reclamations!G16,ref_agents!$A$3:$D$50,3,FALSE())&amp;" "&amp;VLOOKUP(reclamations!G16,ref_agents!$A$3:$D$50,2,FALSE()),"?")</f>
        <v>Thi Nguyen</v>
      </c>
      <c r="K18" s="20" t="str">
        <f>reclamations!I16</f>
        <v>Climatisation non fonctionnelle.</v>
      </c>
    </row>
    <row r="19" spans="1:11" x14ac:dyDescent="0.3">
      <c r="A19" s="21" t="str">
        <f>reclamations!A17</f>
        <v>R015</v>
      </c>
      <c r="B19" s="21" t="str">
        <f>reclamations!B17</f>
        <v>08/04/2026</v>
      </c>
      <c r="C19" s="21" t="str">
        <f>IFERROR(VLOOKUP(reclamations!C17,reclamants!$A$3:$F$50,2,FALSE())&amp;" "&amp;VLOOKUP(reclamations!C17,reclamants!$A$3:$F$50,3,FALSE()),"?")</f>
        <v>Ben Salem Karim</v>
      </c>
      <c r="D19" s="21" t="str">
        <f>IFERROR(VLOOKUP(reclamations!C17,reclamants!$A$3:$F$50,4,FALSE()),"")</f>
        <v>k.bensalem@mail.fr</v>
      </c>
      <c r="E19" s="21" t="str">
        <f>IFERROR(VLOOKUP(reclamations!D17,ref_lignes!$A$3:$E$50,2,FALSE()),"?")</f>
        <v>169</v>
      </c>
      <c r="F19" s="21" t="str">
        <f>IFERROR(VLOOKUP(reclamations!D17,ref_lignes!$A$3:$E$50,3,FALSE()),"?")</f>
        <v>Pont de Sèvres - Place Balard</v>
      </c>
      <c r="G19" s="21" t="str">
        <f>IFERROR(VLOOKUP(VLOOKUP(reclamations!D17,ref_lignes!$A$3:$E$50,4,FALSE()),ref_prestataires!$A$3:$E$50,2,FALSE()),"?")</f>
        <v>RATP</v>
      </c>
      <c r="H19" s="21" t="str">
        <f>IFERROR(VLOOKUP(reclamations!E17,ref_motifs!$A$3:$C$50,2,FALSE()),"?")</f>
        <v>Autre</v>
      </c>
      <c r="I19" s="21" t="str">
        <f>IFERROR(VLOOKUP(reclamations!F17,ref_statuts!$A$3:$C$50,2,FALSE()),"?")</f>
        <v>Ouverte</v>
      </c>
      <c r="J19" s="21" t="str">
        <f>IFERROR(VLOOKUP(reclamations!G17,ref_agents!$A$3:$D$50,3,FALSE())&amp;" "&amp;VLOOKUP(reclamations!G17,ref_agents!$A$3:$D$50,2,FALSE()),"?")</f>
        <v>Sophie Martin</v>
      </c>
      <c r="K19" s="21" t="str">
        <f>reclamations!I17</f>
        <v>Autre : demande d'info sur un changement de trajet.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ReadMe</vt:lpstr>
      <vt:lpstr>Dict_donnees</vt:lpstr>
      <vt:lpstr>ref_lignes</vt:lpstr>
      <vt:lpstr>ref_arrets</vt:lpstr>
      <vt:lpstr>ref_prestataires</vt:lpstr>
      <vt:lpstr>ref_motifs</vt:lpstr>
      <vt:lpstr>ref_statuts</vt:lpstr>
      <vt:lpstr>ref_agents</vt:lpstr>
      <vt:lpstr>reclamants</vt:lpstr>
      <vt:lpstr>reclamations</vt:lpstr>
      <vt:lpstr>suivi_reclamations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Andriantsoanavalona Mandresy</cp:lastModifiedBy>
  <cp:revision>0</cp:revision>
  <dcterms:created xsi:type="dcterms:W3CDTF">2026-04-21T12:54:20Z</dcterms:created>
  <dcterms:modified xsi:type="dcterms:W3CDTF">2026-04-21T15:35:55Z</dcterms:modified>
  <dc:language>en-US</dc:language>
</cp:coreProperties>
</file>